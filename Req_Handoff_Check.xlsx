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path.sho\Downloads\"/>
    </mc:Choice>
  </mc:AlternateContent>
  <xr:revisionPtr revIDLastSave="0" documentId="8_{EDC0CA0B-60A0-4F39-B122-D873C815F996}" xr6:coauthVersionLast="47" xr6:coauthVersionMax="47" xr10:uidLastSave="{00000000-0000-0000-0000-000000000000}"/>
  <bookViews>
    <workbookView xWindow="-110" yWindow="-110" windowWidth="22780" windowHeight="14540" firstSheet="5" activeTab="1" xr2:uid="{00000000-000D-0000-FFFF-FFFF00000000}"/>
  </bookViews>
  <sheets>
    <sheet name="About" sheetId="9" r:id="rId1"/>
    <sheet name="Dashboard" sheetId="6" r:id="rId2"/>
    <sheet name="ReqSite_Export" sheetId="2" r:id="rId3"/>
    <sheet name="Approvals_Log" sheetId="3" r:id="rId4"/>
    <sheet name="iCIMS_Export" sheetId="4" r:id="rId5"/>
    <sheet name="Dept_Map" sheetId="7" r:id="rId6"/>
    <sheet name="Pivot" sheetId="8" r:id="rId7"/>
  </sheets>
  <definedNames>
    <definedName name="_xlnm._FilterDatabase" localSheetId="3" hidden="1">Approvals_Log!$A$1:$F$217</definedName>
    <definedName name="_xlnm._FilterDatabase" localSheetId="4" hidden="1">iCIMS_Export!$A$1:$U$57</definedName>
    <definedName name="_xlnm._FilterDatabase" localSheetId="2" hidden="1">ReqSite_Export!$P$1:$P$82</definedName>
    <definedName name="Slicer_Recruiter">#N/A</definedName>
  </definedNames>
  <calcPr calcId="191028"/>
  <pivotCaches>
    <pivotCache cacheId="35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6" l="1"/>
  <c r="D14" i="6"/>
  <c r="D12" i="6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2" i="2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2" i="4"/>
  <c r="G11" i="6"/>
  <c r="G10" i="6"/>
  <c r="G5" i="6"/>
  <c r="G4" i="6"/>
  <c r="G3" i="6"/>
  <c r="G2" i="6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2" i="2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2" i="4"/>
  <c r="B17" i="6"/>
  <c r="G13" i="6" s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2" i="4"/>
  <c r="B16" i="6" s="1"/>
  <c r="G12" i="6" s="1"/>
  <c r="C12" i="6"/>
  <c r="C13" i="6"/>
  <c r="C14" i="6"/>
  <c r="B12" i="6"/>
  <c r="B13" i="6"/>
  <c r="B14" i="6"/>
  <c r="A12" i="6" a="1"/>
  <c r="A12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" i="3"/>
  <c r="B9" i="6"/>
  <c r="B8" i="6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2" i="4"/>
  <c r="B7" i="6"/>
  <c r="G9" i="6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2" i="4"/>
  <c r="B6" i="6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2" i="4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" i="2"/>
  <c r="O2" i="4" l="1"/>
  <c r="S2" i="4"/>
  <c r="Q2" i="4"/>
  <c r="O57" i="4"/>
  <c r="S57" i="4"/>
  <c r="Q57" i="4"/>
  <c r="O56" i="4"/>
  <c r="S56" i="4"/>
  <c r="Q56" i="4"/>
  <c r="O55" i="4"/>
  <c r="S55" i="4"/>
  <c r="Q55" i="4"/>
  <c r="O54" i="4"/>
  <c r="S54" i="4"/>
  <c r="Q54" i="4"/>
  <c r="O53" i="4"/>
  <c r="S53" i="4"/>
  <c r="Q53" i="4"/>
  <c r="O52" i="4"/>
  <c r="S52" i="4"/>
  <c r="Q52" i="4"/>
  <c r="O51" i="4"/>
  <c r="S51" i="4"/>
  <c r="Q51" i="4"/>
  <c r="O50" i="4"/>
  <c r="S50" i="4"/>
  <c r="Q50" i="4"/>
  <c r="O49" i="4"/>
  <c r="S49" i="4"/>
  <c r="Q49" i="4"/>
  <c r="O48" i="4"/>
  <c r="S48" i="4"/>
  <c r="Q48" i="4"/>
  <c r="O47" i="4"/>
  <c r="S47" i="4"/>
  <c r="Q47" i="4"/>
  <c r="O46" i="4"/>
  <c r="S46" i="4"/>
  <c r="Q46" i="4"/>
  <c r="O45" i="4"/>
  <c r="S45" i="4"/>
  <c r="Q45" i="4"/>
  <c r="O44" i="4"/>
  <c r="S44" i="4"/>
  <c r="Q44" i="4"/>
  <c r="O43" i="4"/>
  <c r="S43" i="4"/>
  <c r="Q43" i="4"/>
  <c r="O42" i="4"/>
  <c r="S42" i="4"/>
  <c r="Q42" i="4"/>
  <c r="O41" i="4"/>
  <c r="S41" i="4"/>
  <c r="Q41" i="4"/>
  <c r="O40" i="4"/>
  <c r="S40" i="4"/>
  <c r="Q40" i="4"/>
  <c r="O39" i="4"/>
  <c r="S39" i="4"/>
  <c r="Q39" i="4"/>
  <c r="O38" i="4"/>
  <c r="S38" i="4"/>
  <c r="Q38" i="4"/>
  <c r="O37" i="4"/>
  <c r="S37" i="4"/>
  <c r="Q37" i="4"/>
  <c r="O36" i="4"/>
  <c r="S36" i="4"/>
  <c r="Q36" i="4"/>
  <c r="O35" i="4"/>
  <c r="S35" i="4"/>
  <c r="Q35" i="4"/>
  <c r="O34" i="4"/>
  <c r="S34" i="4"/>
  <c r="Q34" i="4"/>
  <c r="O33" i="4"/>
  <c r="S33" i="4"/>
  <c r="Q33" i="4"/>
  <c r="O32" i="4"/>
  <c r="S32" i="4"/>
  <c r="Q32" i="4"/>
  <c r="O31" i="4"/>
  <c r="S31" i="4"/>
  <c r="Q31" i="4"/>
  <c r="O30" i="4"/>
  <c r="S30" i="4"/>
  <c r="Q30" i="4"/>
  <c r="O29" i="4"/>
  <c r="S29" i="4"/>
  <c r="Q29" i="4"/>
  <c r="O28" i="4"/>
  <c r="S28" i="4"/>
  <c r="Q28" i="4"/>
  <c r="O27" i="4"/>
  <c r="S27" i="4"/>
  <c r="Q27" i="4"/>
  <c r="O26" i="4"/>
  <c r="S26" i="4"/>
  <c r="Q26" i="4"/>
  <c r="O25" i="4"/>
  <c r="S25" i="4"/>
  <c r="Q25" i="4"/>
  <c r="O24" i="4"/>
  <c r="S24" i="4"/>
  <c r="Q24" i="4"/>
  <c r="O23" i="4"/>
  <c r="S23" i="4"/>
  <c r="Q23" i="4"/>
  <c r="O22" i="4"/>
  <c r="S22" i="4"/>
  <c r="Q22" i="4"/>
  <c r="O21" i="4"/>
  <c r="S21" i="4"/>
  <c r="Q21" i="4"/>
  <c r="O20" i="4"/>
  <c r="S20" i="4"/>
  <c r="Q20" i="4"/>
  <c r="O19" i="4"/>
  <c r="S19" i="4"/>
  <c r="Q19" i="4"/>
  <c r="O18" i="4"/>
  <c r="S18" i="4"/>
  <c r="Q18" i="4"/>
  <c r="O17" i="4"/>
  <c r="S17" i="4"/>
  <c r="Q17" i="4"/>
  <c r="O16" i="4"/>
  <c r="S16" i="4"/>
  <c r="Q16" i="4"/>
  <c r="O15" i="4"/>
  <c r="S15" i="4"/>
  <c r="Q15" i="4"/>
  <c r="O14" i="4"/>
  <c r="S14" i="4"/>
  <c r="Q14" i="4"/>
  <c r="O13" i="4"/>
  <c r="S13" i="4"/>
  <c r="Q13" i="4"/>
  <c r="O12" i="4"/>
  <c r="S12" i="4"/>
  <c r="Q12" i="4"/>
  <c r="O11" i="4"/>
  <c r="S11" i="4"/>
  <c r="Q11" i="4"/>
  <c r="O10" i="4"/>
  <c r="S10" i="4"/>
  <c r="Q10" i="4"/>
  <c r="O9" i="4"/>
  <c r="S9" i="4"/>
  <c r="Q9" i="4"/>
  <c r="O8" i="4"/>
  <c r="S8" i="4"/>
  <c r="Q8" i="4"/>
  <c r="O7" i="4"/>
  <c r="S7" i="4"/>
  <c r="Q7" i="4"/>
  <c r="O6" i="4"/>
  <c r="S6" i="4"/>
  <c r="Q6" i="4"/>
  <c r="O5" i="4"/>
  <c r="S5" i="4"/>
  <c r="Q5" i="4"/>
  <c r="O4" i="4"/>
  <c r="S4" i="4"/>
  <c r="Q4" i="4"/>
  <c r="O3" i="4"/>
  <c r="S3" i="4"/>
  <c r="Q3" i="4"/>
  <c r="L2" i="2"/>
  <c r="O2" i="2" s="1"/>
  <c r="L3" i="2"/>
  <c r="O3" i="2" s="1"/>
  <c r="L4" i="2"/>
  <c r="O4" i="2" s="1"/>
  <c r="L5" i="2"/>
  <c r="O5" i="2" s="1"/>
  <c r="L6" i="2"/>
  <c r="O6" i="2" s="1"/>
  <c r="L7" i="2"/>
  <c r="O7" i="2" s="1"/>
  <c r="L8" i="2"/>
  <c r="O8" i="2" s="1"/>
  <c r="L9" i="2"/>
  <c r="O9" i="2" s="1"/>
  <c r="L10" i="2"/>
  <c r="O10" i="2" s="1"/>
  <c r="L11" i="2"/>
  <c r="O11" i="2" s="1"/>
  <c r="L12" i="2"/>
  <c r="O12" i="2" s="1"/>
  <c r="L13" i="2"/>
  <c r="O13" i="2" s="1"/>
  <c r="L14" i="2"/>
  <c r="O14" i="2" s="1"/>
  <c r="L15" i="2"/>
  <c r="O15" i="2" s="1"/>
  <c r="L16" i="2"/>
  <c r="O16" i="2" s="1"/>
  <c r="L17" i="2"/>
  <c r="O17" i="2" s="1"/>
  <c r="L18" i="2"/>
  <c r="O18" i="2" s="1"/>
  <c r="L19" i="2"/>
  <c r="O19" i="2" s="1"/>
  <c r="L20" i="2"/>
  <c r="O20" i="2" s="1"/>
  <c r="L21" i="2"/>
  <c r="O21" i="2" s="1"/>
  <c r="L22" i="2"/>
  <c r="O22" i="2" s="1"/>
  <c r="L23" i="2"/>
  <c r="O23" i="2" s="1"/>
  <c r="L24" i="2"/>
  <c r="O24" i="2" s="1"/>
  <c r="L25" i="2"/>
  <c r="O25" i="2" s="1"/>
  <c r="L26" i="2"/>
  <c r="O26" i="2" s="1"/>
  <c r="L27" i="2"/>
  <c r="O27" i="2" s="1"/>
  <c r="L28" i="2"/>
  <c r="O28" i="2" s="1"/>
  <c r="L29" i="2"/>
  <c r="O29" i="2" s="1"/>
  <c r="L30" i="2"/>
  <c r="O30" i="2" s="1"/>
  <c r="L31" i="2"/>
  <c r="O31" i="2" s="1"/>
  <c r="L32" i="2"/>
  <c r="O32" i="2" s="1"/>
  <c r="L33" i="2"/>
  <c r="O33" i="2" s="1"/>
  <c r="L34" i="2"/>
  <c r="O34" i="2" s="1"/>
  <c r="L35" i="2"/>
  <c r="O35" i="2" s="1"/>
  <c r="L36" i="2"/>
  <c r="O36" i="2" s="1"/>
  <c r="L37" i="2"/>
  <c r="O37" i="2" s="1"/>
  <c r="L38" i="2"/>
  <c r="O38" i="2" s="1"/>
  <c r="L39" i="2"/>
  <c r="O39" i="2" s="1"/>
  <c r="L40" i="2"/>
  <c r="O40" i="2" s="1"/>
  <c r="L41" i="2"/>
  <c r="O41" i="2" s="1"/>
  <c r="L42" i="2"/>
  <c r="O42" i="2" s="1"/>
  <c r="L43" i="2"/>
  <c r="O43" i="2" s="1"/>
  <c r="L44" i="2"/>
  <c r="O44" i="2" s="1"/>
  <c r="L45" i="2"/>
  <c r="O45" i="2" s="1"/>
  <c r="L46" i="2"/>
  <c r="O46" i="2" s="1"/>
  <c r="L47" i="2"/>
  <c r="O47" i="2" s="1"/>
  <c r="L48" i="2"/>
  <c r="O48" i="2" s="1"/>
  <c r="L49" i="2"/>
  <c r="O49" i="2" s="1"/>
  <c r="L50" i="2"/>
  <c r="O50" i="2" s="1"/>
  <c r="L51" i="2"/>
  <c r="O51" i="2" s="1"/>
  <c r="L52" i="2"/>
  <c r="O52" i="2" s="1"/>
  <c r="L53" i="2"/>
  <c r="O53" i="2" s="1"/>
  <c r="L54" i="2"/>
  <c r="O54" i="2" s="1"/>
  <c r="L55" i="2"/>
  <c r="O55" i="2" s="1"/>
  <c r="L56" i="2"/>
  <c r="O56" i="2" s="1"/>
  <c r="L57" i="2"/>
  <c r="O57" i="2" s="1"/>
  <c r="L58" i="2"/>
  <c r="O58" i="2" s="1"/>
  <c r="L59" i="2"/>
  <c r="O59" i="2" s="1"/>
  <c r="L60" i="2"/>
  <c r="O60" i="2" s="1"/>
  <c r="L61" i="2"/>
  <c r="O61" i="2" s="1"/>
  <c r="L62" i="2"/>
  <c r="O62" i="2" s="1"/>
  <c r="L63" i="2"/>
  <c r="O63" i="2" s="1"/>
  <c r="L64" i="2"/>
  <c r="O64" i="2" s="1"/>
  <c r="L65" i="2"/>
  <c r="O65" i="2" s="1"/>
  <c r="L66" i="2"/>
  <c r="O66" i="2" s="1"/>
  <c r="L67" i="2"/>
  <c r="O67" i="2" s="1"/>
  <c r="L68" i="2"/>
  <c r="O68" i="2" s="1"/>
  <c r="L69" i="2"/>
  <c r="O69" i="2" s="1"/>
  <c r="L70" i="2"/>
  <c r="O70" i="2" s="1"/>
  <c r="L71" i="2"/>
  <c r="O71" i="2" s="1"/>
  <c r="L72" i="2"/>
  <c r="O72" i="2" s="1"/>
  <c r="L73" i="2"/>
  <c r="O73" i="2" s="1"/>
  <c r="L74" i="2"/>
  <c r="O74" i="2" s="1"/>
  <c r="L75" i="2"/>
  <c r="O75" i="2" s="1"/>
  <c r="L76" i="2"/>
  <c r="O76" i="2" s="1"/>
  <c r="L77" i="2"/>
  <c r="O77" i="2" s="1"/>
  <c r="L78" i="2"/>
  <c r="O78" i="2" s="1"/>
  <c r="L79" i="2"/>
  <c r="O79" i="2" s="1"/>
  <c r="L80" i="2"/>
  <c r="O80" i="2" s="1"/>
  <c r="L81" i="2"/>
  <c r="O81" i="2" s="1"/>
  <c r="L82" i="2"/>
  <c r="O82" i="2" s="1"/>
  <c r="G7" i="6" l="1"/>
  <c r="G6" i="6"/>
  <c r="B5" i="6"/>
  <c r="B4" i="6"/>
  <c r="G8" i="6" s="1"/>
  <c r="D2" i="7" a="1"/>
  <c r="D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<sst xmlns="http://schemas.openxmlformats.org/spreadsheetml/2006/main" count="2094" uniqueCount="317">
  <si>
    <t>Request Handoff Check</t>
  </si>
  <si>
    <t>Where hiring requests get stuck between approval and iCIMS</t>
  </si>
  <si>
    <t>A mini project by Showrish Reddy Sampath · Fall 2026 · All data is synthetic</t>
  </si>
  <si>
    <t>The question</t>
  </si>
  <si>
    <t>Hiring requests get approved on a request site, then retyped by hand into iCIMS for posting.</t>
  </si>
  <si>
    <t>So where does time get lost, and where does the data stop matching between the two systems?</t>
  </si>
  <si>
    <t>What I found</t>
  </si>
  <si>
    <t>• Finance is the bottleneck: 7.4 days per approval, nearly 3x the other steps, with 3 approvals stuck 2+ weeks.</t>
  </si>
  <si>
    <t>• Approved requests wait about 6 days before they're opened in iCIMS, lost to manual re-entry.</t>
  </si>
  <si>
    <t>• Average time to fill is 56.1 days, from final approval to accepted offer.</t>
  </si>
  <si>
    <t>• 7 fields don't match between systems: 4 job titles, 2 hiring managers and 1 department.</t>
  </si>
  <si>
    <t>• 3 iCIMS jobs have no request on file, including one with a typo in its ID (O instead of 0).</t>
  </si>
  <si>
    <t>• 1 job was opened in iCIMS before its request was approved.</t>
  </si>
  <si>
    <t>• 5 approved requests are stale gaps: approved over a week ago and still not in iCIMS.</t>
  </si>
  <si>
    <t>• Smaller cleanup: 1 duplicate request pair, 3 dates stored as text and 3 missing locations.</t>
  </si>
  <si>
    <t>What's inside</t>
  </si>
  <si>
    <t>• Dashboard: the KPIs, approval step breakdown and chart, all driven by the as-of date in B2.</t>
  </si>
  <si>
    <t>• ReqSite_Export: requests from the approval site, plus checks for iCIMS status, gaps and duplicates.</t>
  </si>
  <si>
    <t>• Approvals_Log: every approval step, who handled it and how many days it sat there.</t>
  </si>
  <si>
    <t>• iCIMS_Export: jobs from iCIMS, plus columns that clean IDs and match them back to requests.</t>
  </si>
  <si>
    <t>• Dept_Map: translates department names between the two systems.</t>
  </si>
  <si>
    <t>• Pivot: jobs by department and request status, with a slicer by recruiter.</t>
  </si>
  <si>
    <t>Tricks used</t>
  </si>
  <si>
    <t>• XLOOKUP and COUNTIFS to match records across systems, and AVERAGEIFS for step timing</t>
  </si>
  <si>
    <t>• TRIM and SUBSTITUTE to strip hidden spaces, and DATEVALUE to fix dates stored as text</t>
  </si>
  <si>
    <t>• UNIQUE, SORT and HSTACK for live lists, plus a PivotTable, a slicer and a chart</t>
  </si>
  <si>
    <t>Heads up</t>
  </si>
  <si>
    <t>• All names and requests are made up. The data is synthetic, built to practice HR operations analysis.</t>
  </si>
  <si>
    <t>• Needs Excel 365, since it uses XLOOKUP, UNIQUE and HSTACK.</t>
  </si>
  <si>
    <t xml:space="preserve">   • Blue headers are fields from the system exports. Green headers are checks I added.</t>
  </si>
  <si>
    <t>KPI</t>
  </si>
  <si>
    <t>Value</t>
  </si>
  <si>
    <t>As of date</t>
  </si>
  <si>
    <t>Total requests</t>
  </si>
  <si>
    <t>Approved</t>
  </si>
  <si>
    <t>Title mismatches</t>
  </si>
  <si>
    <t>Stale gaps</t>
  </si>
  <si>
    <t>Manager mismatches</t>
  </si>
  <si>
    <t>Recent gaps</t>
  </si>
  <si>
    <t>Dept mismatches</t>
  </si>
  <si>
    <t>No request on file</t>
  </si>
  <si>
    <t>Duplicate rows</t>
  </si>
  <si>
    <t>Opened before approval</t>
  </si>
  <si>
    <t>Dates stored as text</t>
  </si>
  <si>
    <t>Field mismatches</t>
  </si>
  <si>
    <t>Missing locations</t>
  </si>
  <si>
    <t>Duplicate pairs</t>
  </si>
  <si>
    <t>Avg approval cycle</t>
  </si>
  <si>
    <t>Approval step</t>
  </si>
  <si>
    <t>Avg days</t>
  </si>
  <si>
    <t>Pending</t>
  </si>
  <si>
    <t>Pending 14+ days</t>
  </si>
  <si>
    <t>Slowest step</t>
  </si>
  <si>
    <t>Avg hand-off days</t>
  </si>
  <si>
    <t>Avg time to fill</t>
  </si>
  <si>
    <t>Request ID</t>
  </si>
  <si>
    <t>Submitted On</t>
  </si>
  <si>
    <t>Hiring Manager</t>
  </si>
  <si>
    <t>Department</t>
  </si>
  <si>
    <t>Job Title</t>
  </si>
  <si>
    <t>Request Type</t>
  </si>
  <si>
    <t>Employment Type</t>
  </si>
  <si>
    <t>Location</t>
  </si>
  <si>
    <t>Target Start</t>
  </si>
  <si>
    <t>Request Status</t>
  </si>
  <si>
    <t>Final Approval Date</t>
  </si>
  <si>
    <t>In_iCIMS</t>
  </si>
  <si>
    <t>iCIMS_Job_ID</t>
  </si>
  <si>
    <t>Days_Since_Approval</t>
  </si>
  <si>
    <t>Gap_Flag</t>
  </si>
  <si>
    <t>Dup_Check</t>
  </si>
  <si>
    <t>Approval_Cycle</t>
  </si>
  <si>
    <t>RR-26-0001</t>
  </si>
  <si>
    <t>Kevin Doyle</t>
  </si>
  <si>
    <t>IT</t>
  </si>
  <si>
    <t>Systems Administrator</t>
  </si>
  <si>
    <t>New Headcount</t>
  </si>
  <si>
    <t>Full-time</t>
  </si>
  <si>
    <t>London</t>
  </si>
  <si>
    <t>RR-26-0002</t>
  </si>
  <si>
    <t>Elena Vasquez</t>
  </si>
  <si>
    <t>Research</t>
  </si>
  <si>
    <t>Research Director</t>
  </si>
  <si>
    <t>Remote (US)</t>
  </si>
  <si>
    <t>RR-26-0003</t>
  </si>
  <si>
    <t>Carlos Mendes</t>
  </si>
  <si>
    <t>Sales</t>
  </si>
  <si>
    <t>Sales Operations Analyst</t>
  </si>
  <si>
    <t>Backfill</t>
  </si>
  <si>
    <t>Part-time</t>
  </si>
  <si>
    <t>RR-26-0004</t>
  </si>
  <si>
    <t>Michael Grant</t>
  </si>
  <si>
    <t>Account Executive</t>
  </si>
  <si>
    <t>Boston</t>
  </si>
  <si>
    <t>RR-26-0005</t>
  </si>
  <si>
    <t>Victor Salgado</t>
  </si>
  <si>
    <t>Events</t>
  </si>
  <si>
    <t>Event Coordinator</t>
  </si>
  <si>
    <t>RR-26-0006</t>
  </si>
  <si>
    <t>Paul Mercer</t>
  </si>
  <si>
    <t>Finance</t>
  </si>
  <si>
    <t>Financial Analyst</t>
  </si>
  <si>
    <t>RR-26-0007</t>
  </si>
  <si>
    <t>Daniel Osei</t>
  </si>
  <si>
    <t>Product</t>
  </si>
  <si>
    <t>Product Manager</t>
  </si>
  <si>
    <t>RR-26-0008</t>
  </si>
  <si>
    <t>Jasmine Reid</t>
  </si>
  <si>
    <t>RR-26-0009</t>
  </si>
  <si>
    <t>RR-26-0010</t>
  </si>
  <si>
    <t>Grace Holloway</t>
  </si>
  <si>
    <t>Event Marketing Manager</t>
  </si>
  <si>
    <t>RR-26-0011</t>
  </si>
  <si>
    <t>Olivia Chen</t>
  </si>
  <si>
    <t>Marketing</t>
  </si>
  <si>
    <t>Product Marketing Manager</t>
  </si>
  <si>
    <t>RR-26-0012</t>
  </si>
  <si>
    <t>Senior Product Manager</t>
  </si>
  <si>
    <t>RR-26-0013</t>
  </si>
  <si>
    <t>Fatima Hassan</t>
  </si>
  <si>
    <t>IT Support Specialist</t>
  </si>
  <si>
    <t>Rejected</t>
  </si>
  <si>
    <t>RR-26-0014</t>
  </si>
  <si>
    <t>Julia Novak</t>
  </si>
  <si>
    <t>Human Resources</t>
  </si>
  <si>
    <t>HRIS Analyst</t>
  </si>
  <si>
    <t>RR-26-0015</t>
  </si>
  <si>
    <t>Sofia Marino</t>
  </si>
  <si>
    <t>Consulting</t>
  </si>
  <si>
    <t>Engagement Manager</t>
  </si>
  <si>
    <t>Toronto</t>
  </si>
  <si>
    <t>RR-26-0016</t>
  </si>
  <si>
    <t>Amy Sorensen</t>
  </si>
  <si>
    <t>Data &amp; Analytics</t>
  </si>
  <si>
    <t>Data Engineer</t>
  </si>
  <si>
    <t>Contract</t>
  </si>
  <si>
    <t>RR-26-0017</t>
  </si>
  <si>
    <t>Lisa Tran</t>
  </si>
  <si>
    <t>Senior Accountant</t>
  </si>
  <si>
    <t>RR-26-0018</t>
  </si>
  <si>
    <t>Sales Development Representative</t>
  </si>
  <si>
    <t>Withdrawn</t>
  </si>
  <si>
    <t>RR-26-0019</t>
  </si>
  <si>
    <t>RR-26-0020</t>
  </si>
  <si>
    <t>RR-26-0021</t>
  </si>
  <si>
    <t>Nikhil Rao</t>
  </si>
  <si>
    <t>Analytics Engineer</t>
  </si>
  <si>
    <t>RR-26-0022</t>
  </si>
  <si>
    <t>Content Marketing Manager</t>
  </si>
  <si>
    <t>RR-26-0023</t>
  </si>
  <si>
    <t>Robert Hayes</t>
  </si>
  <si>
    <t>Benefits Specialist</t>
  </si>
  <si>
    <t>RR-26-0024</t>
  </si>
  <si>
    <t>RR-26-0025</t>
  </si>
  <si>
    <t>Research Analyst</t>
  </si>
  <si>
    <t>RR-26-0026</t>
  </si>
  <si>
    <t>Brian Cho</t>
  </si>
  <si>
    <t>Research Manager</t>
  </si>
  <si>
    <t>RR-26-0027</t>
  </si>
  <si>
    <t>RR-26-0028</t>
  </si>
  <si>
    <t>RR-26-0029</t>
  </si>
  <si>
    <t>Ethan Park</t>
  </si>
  <si>
    <t>Marketing Operations Specialist</t>
  </si>
  <si>
    <t>RR-26-0030</t>
  </si>
  <si>
    <t>RR-26-0031</t>
  </si>
  <si>
    <t>Senior Research Analyst</t>
  </si>
  <si>
    <t>RR-26-0032</t>
  </si>
  <si>
    <t>Megan O'Neill</t>
  </si>
  <si>
    <t>RR-26-0033</t>
  </si>
  <si>
    <t>RR-26-0034</t>
  </si>
  <si>
    <t>Senior Consultant</t>
  </si>
  <si>
    <t>RR-26-0035</t>
  </si>
  <si>
    <t>RR-26-0036</t>
  </si>
  <si>
    <t>RR-26-0037</t>
  </si>
  <si>
    <t>RR-26-0038</t>
  </si>
  <si>
    <t>Digital Marketing Analyst</t>
  </si>
  <si>
    <t>RR-26-0039</t>
  </si>
  <si>
    <t>Account Manager</t>
  </si>
  <si>
    <t>RR-26-0040</t>
  </si>
  <si>
    <t>RR-26-0041</t>
  </si>
  <si>
    <t>RR-26-0042</t>
  </si>
  <si>
    <t>RR-26-0043</t>
  </si>
  <si>
    <t>Leah Goldberg</t>
  </si>
  <si>
    <t>UX Designer</t>
  </si>
  <si>
    <t>RR-26-0044</t>
  </si>
  <si>
    <t>RR-26-0045</t>
  </si>
  <si>
    <t>FP&amp;A Manager</t>
  </si>
  <si>
    <t>RR-26-0046</t>
  </si>
  <si>
    <t>HR Coordinator</t>
  </si>
  <si>
    <t>RR-26-0047</t>
  </si>
  <si>
    <t>Research Associate</t>
  </si>
  <si>
    <t>RR-26-0048</t>
  </si>
  <si>
    <t>RR-26-0049</t>
  </si>
  <si>
    <t>RR-26-0050</t>
  </si>
  <si>
    <t>RR-26-0051</t>
  </si>
  <si>
    <t>RR-26-0052</t>
  </si>
  <si>
    <t>RR-26-0053</t>
  </si>
  <si>
    <t>Sponsorship Sales Manager</t>
  </si>
  <si>
    <t>RR-26-0054</t>
  </si>
  <si>
    <t>Co-op/Intern</t>
  </si>
  <si>
    <t>RR-26-0055</t>
  </si>
  <si>
    <t>RR-26-0056</t>
  </si>
  <si>
    <t>RR-26-0057</t>
  </si>
  <si>
    <t>RR-26-0058</t>
  </si>
  <si>
    <t>RR-26-0059</t>
  </si>
  <si>
    <t>RR-26-0060</t>
  </si>
  <si>
    <t>RR-26-0061</t>
  </si>
  <si>
    <t>RR-26-0062</t>
  </si>
  <si>
    <t>RR-26-0063</t>
  </si>
  <si>
    <t>RR-26-0064</t>
  </si>
  <si>
    <t>RR-26-0065</t>
  </si>
  <si>
    <t>RR-26-0066</t>
  </si>
  <si>
    <t>Pending Approval</t>
  </si>
  <si>
    <t>RR-26-0067</t>
  </si>
  <si>
    <t>RR-26-0068</t>
  </si>
  <si>
    <t>RR-26-0069</t>
  </si>
  <si>
    <t>RR-26-0070</t>
  </si>
  <si>
    <t>RR-26-0071</t>
  </si>
  <si>
    <t>RR-26-0072</t>
  </si>
  <si>
    <t>RR-26-0073</t>
  </si>
  <si>
    <t>RR-26-0074</t>
  </si>
  <si>
    <t>RR-26-0075</t>
  </si>
  <si>
    <t>RR-26-0076</t>
  </si>
  <si>
    <t>RR-26-0077</t>
  </si>
  <si>
    <t>RR-26-0078</t>
  </si>
  <si>
    <t>RR-26-0079</t>
  </si>
  <si>
    <t>RR-26-0080</t>
  </si>
  <si>
    <t>RR-26-0081</t>
  </si>
  <si>
    <t>Step</t>
  </si>
  <si>
    <t>Approver</t>
  </si>
  <si>
    <t>Received On</t>
  </si>
  <si>
    <t>Decided On</t>
  </si>
  <si>
    <t>Decision</t>
  </si>
  <si>
    <t>Days_In_Step</t>
  </si>
  <si>
    <t>1 - Dept Head</t>
  </si>
  <si>
    <t>Samuel Adeyemi</t>
  </si>
  <si>
    <t>2 - Finance</t>
  </si>
  <si>
    <t>Anita Desai</t>
  </si>
  <si>
    <t>3 - HR Business Partner</t>
  </si>
  <si>
    <t>Tessa Nguyen</t>
  </si>
  <si>
    <t>Laura Whitfield</t>
  </si>
  <si>
    <t>Monica Alvarez</t>
  </si>
  <si>
    <t>Diane Kowalski</t>
  </si>
  <si>
    <t>Gary Whitman</t>
  </si>
  <si>
    <t>Jordan Blake</t>
  </si>
  <si>
    <t>Tom Brennan</t>
  </si>
  <si>
    <t>Rachel Stein</t>
  </si>
  <si>
    <t>Aaron Feld</t>
  </si>
  <si>
    <t>Priya Raman</t>
  </si>
  <si>
    <t>Nicole Duarte</t>
  </si>
  <si>
    <t>Marcus Okafor</t>
  </si>
  <si>
    <t>Kenji Watanabe</t>
  </si>
  <si>
    <t>Job ID</t>
  </si>
  <si>
    <t>Request Ref</t>
  </si>
  <si>
    <t>Recruiter</t>
  </si>
  <si>
    <t>Date Opened</t>
  </si>
  <si>
    <t>Status</t>
  </si>
  <si>
    <t>Offer Accepted Date</t>
  </si>
  <si>
    <t>Source of Hire</t>
  </si>
  <si>
    <t>Applicants</t>
  </si>
  <si>
    <t>Clean_Ref</t>
  </si>
  <si>
    <t>Site_Status</t>
  </si>
  <si>
    <t>Req_Flag</t>
  </si>
  <si>
    <t>Site_Title</t>
  </si>
  <si>
    <t>Title_Match</t>
  </si>
  <si>
    <t>Site_Manager</t>
  </si>
  <si>
    <t>Manager_Match</t>
  </si>
  <si>
    <t>Site_Dept</t>
  </si>
  <si>
    <t>Dept_Match</t>
  </si>
  <si>
    <t>Opened_Clean</t>
  </si>
  <si>
    <t>Handoff_Days</t>
  </si>
  <si>
    <t>Time_To_Fill</t>
  </si>
  <si>
    <t>Dept_Clean</t>
  </si>
  <si>
    <t>Chris Palmer</t>
  </si>
  <si>
    <t>Filled</t>
  </si>
  <si>
    <t>Careers Site</t>
  </si>
  <si>
    <t>Dana Whitaker</t>
  </si>
  <si>
    <t>Information Technology</t>
  </si>
  <si>
    <t>Imani Brooks</t>
  </si>
  <si>
    <t>Internal Move</t>
  </si>
  <si>
    <t>Owen Fitzgerald</t>
  </si>
  <si>
    <t>Employee Referral</t>
  </si>
  <si>
    <t>Product Mgmt</t>
  </si>
  <si>
    <t>LinkedIn</t>
  </si>
  <si>
    <t xml:space="preserve">Sales </t>
  </si>
  <si>
    <t>Agency</t>
  </si>
  <si>
    <t>Mktg &amp; Comms</t>
  </si>
  <si>
    <t>N/A</t>
  </si>
  <si>
    <t>Cancelled</t>
  </si>
  <si>
    <t>Consulting Services</t>
  </si>
  <si>
    <t>HR</t>
  </si>
  <si>
    <t>Data and Analytics</t>
  </si>
  <si>
    <t xml:space="preserve">RR-26-0029 </t>
  </si>
  <si>
    <t xml:space="preserve"> RR-26-0028</t>
  </si>
  <si>
    <t>Reserach Analyst</t>
  </si>
  <si>
    <t>2026-06-09</t>
  </si>
  <si>
    <t>Sr Consultant</t>
  </si>
  <si>
    <t>2026-07-01</t>
  </si>
  <si>
    <t>Open</t>
  </si>
  <si>
    <t xml:space="preserve">HR </t>
  </si>
  <si>
    <t xml:space="preserve">RR-26-0052 </t>
  </si>
  <si>
    <t>RR-26-O050</t>
  </si>
  <si>
    <t>Sr. Research Analyst</t>
  </si>
  <si>
    <t>RR-26-0054 </t>
  </si>
  <si>
    <t>On Hold</t>
  </si>
  <si>
    <t>Mike Grant</t>
  </si>
  <si>
    <t>Account Executive, Enterprise</t>
  </si>
  <si>
    <t>2026-09-23</t>
  </si>
  <si>
    <t>iCIMS_Dept</t>
  </si>
  <si>
    <t>Site_Dept (seen)</t>
  </si>
  <si>
    <t>iCIMS_Dept (seen)</t>
  </si>
  <si>
    <t>Blank Site_Dept rows are iCIMS jobs with no request on file.</t>
  </si>
  <si>
    <t>iCIMS jobs by department and request status</t>
  </si>
  <si>
    <t>Jobs</t>
  </si>
  <si>
    <t>Request status</t>
  </si>
  <si>
    <t>Department (cleaned)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</si>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</sst>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20"/>
      <color rgb="FF1F3864"/>
      <name val="Calibri"/>
      <family val="2"/>
      <scheme val="minor"/>
    </font>
    <font>
      <i/>
      <sz val="12"/>
      <color rgb="FF595959"/>
      <name val="Calibri"/>
      <family val="2"/>
      <scheme val="minor"/>
    </font>
    <font>
      <b/>
      <sz val="13"/>
      <color rgb="FF2F5597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</font>
    <font>
      <b/>
      <sz val="11"/>
      <color rgb="FF000000"/>
      <name val="Calibri"/>
      <scheme val="minor"/>
    </font>
    <font>
      <b/>
      <sz val="16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indent="1"/>
    </xf>
    <xf numFmtId="0" fontId="0" fillId="3" borderId="0" xfId="0" applyFill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approvals slow down: avg days per step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Avg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Dashboard!$A$12:$A$14</c:f>
              <c:strCache>
                <c:ptCount val="3"/>
                <c:pt idx="0">
                  <c:v>1 - Dept Head</c:v>
                </c:pt>
                <c:pt idx="1">
                  <c:v>2 - Finance</c:v>
                </c:pt>
                <c:pt idx="2">
                  <c:v>3 - HR Business Partner</c:v>
                </c:pt>
              </c:strCache>
            </c:strRef>
          </c:cat>
          <c:val>
            <c:numRef>
              <c:f>Dashboard!$B$12:$B$14</c:f>
              <c:numCache>
                <c:formatCode>0.0</c:formatCode>
                <c:ptCount val="3"/>
                <c:pt idx="0">
                  <c:v>2.6282051282051282</c:v>
                </c:pt>
                <c:pt idx="1">
                  <c:v>7.4242424242424239</c:v>
                </c:pt>
                <c:pt idx="2">
                  <c:v>2.6333333333333333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2-4687-8BC7-9BFF33CC82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6065032"/>
        <c:axId val="1862261256"/>
      </c:barChart>
      <c:catAx>
        <c:axId val="185606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61256"/>
        <c:crosses val="autoZero"/>
        <c:auto val="1"/>
        <c:lblAlgn val="ctr"/>
        <c:lblOffset val="100"/>
        <c:noMultiLvlLbl val="0"/>
      </c:catAx>
      <c:valAx>
        <c:axId val="186226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06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0</xdr:row>
      <xdr:rowOff>85725</xdr:rowOff>
    </xdr:from>
    <xdr:to>
      <xdr:col>16</xdr:col>
      <xdr:colOff>190500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0AEF0-B2E8-D672-072D-5444B4553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152400</xdr:rowOff>
    </xdr:from>
    <xdr:to>
      <xdr:col>8</xdr:col>
      <xdr:colOff>19050</xdr:colOff>
      <xdr:row>14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cruiter">
              <a:extLst>
                <a:ext uri="{FF2B5EF4-FFF2-40B4-BE49-F238E27FC236}">
                  <a16:creationId xmlns:a16="http://schemas.microsoft.com/office/drawing/2014/main" id="{2F3671FC-3618-C459-2572-4E97DF8147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crui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7300" y="152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6.840250231478" createdVersion="8" refreshedVersion="8" minRefreshableVersion="3" recordCount="56" xr:uid="{B79F278E-D763-48E6-B582-26DB6390AF6F}">
  <cacheSource type="worksheet">
    <worksheetSource ref="A1:Y57" sheet="iCIMS_Export"/>
  </cacheSource>
  <cacheFields count="25">
    <cacheField name="Job ID" numFmtId="0">
      <sharedItems containsSemiMixedTypes="0" containsString="0" containsNumber="1" containsInteger="1" minValue="4101" maxValue="4156"/>
    </cacheField>
    <cacheField name="Request Ref" numFmtId="0">
      <sharedItems containsBlank="1"/>
    </cacheField>
    <cacheField name="Job Title" numFmtId="0">
      <sharedItems/>
    </cacheField>
    <cacheField name="Department" numFmtId="0">
      <sharedItems count="12">
        <s v="Research"/>
        <s v="Sales"/>
        <s v="Information Technology"/>
        <s v="Finance"/>
        <s v="Product Mgmt"/>
        <s v="Events"/>
        <s v="Sales "/>
        <s v="Mktg &amp; Comms"/>
        <s v="Consulting Services"/>
        <s v="HR"/>
        <s v="Data and Analytics"/>
        <s v="HR "/>
      </sharedItems>
    </cacheField>
    <cacheField name="Hiring Manager" numFmtId="0">
      <sharedItems/>
    </cacheField>
    <cacheField name="Recruiter" numFmtId="0">
      <sharedItems count="4">
        <s v="Chris Palmer"/>
        <s v="Dana Whitaker"/>
        <s v="Imani Brooks"/>
        <s v="Owen Fitzgerald"/>
      </sharedItems>
    </cacheField>
    <cacheField name="Location" numFmtId="0">
      <sharedItems/>
    </cacheField>
    <cacheField name="Date Opened" numFmtId="0">
      <sharedItems containsDate="1" containsMixedTypes="1" minDate="2026-01-22T00:00:00" maxDate="2026-09-25T00:00:00"/>
    </cacheField>
    <cacheField name="Status" numFmtId="0">
      <sharedItems/>
    </cacheField>
    <cacheField name="Offer Accepted Date" numFmtId="0">
      <sharedItems containsNonDate="0" containsDate="1" containsString="0" containsBlank="1" minDate="2026-02-23T00:00:00" maxDate="2026-10-01T00:00:00"/>
    </cacheField>
    <cacheField name="Source of Hire" numFmtId="0">
      <sharedItems containsBlank="1"/>
    </cacheField>
    <cacheField name="Applicants" numFmtId="0">
      <sharedItems containsSemiMixedTypes="0" containsString="0" containsNumber="1" containsInteger="1" minValue="10" maxValue="107"/>
    </cacheField>
    <cacheField name="Clean_Ref" numFmtId="0">
      <sharedItems/>
    </cacheField>
    <cacheField name="Site_Status" numFmtId="0">
      <sharedItems count="3">
        <s v="Approved"/>
        <s v="Not found"/>
        <s v="Pending Approval"/>
      </sharedItems>
    </cacheField>
    <cacheField name="Req_Flag" numFmtId="0">
      <sharedItems/>
    </cacheField>
    <cacheField name="Site_Title" numFmtId="0">
      <sharedItems/>
    </cacheField>
    <cacheField name="Title_Match" numFmtId="0">
      <sharedItems/>
    </cacheField>
    <cacheField name="Site_Manager" numFmtId="0">
      <sharedItems/>
    </cacheField>
    <cacheField name="Manager_Match" numFmtId="0">
      <sharedItems/>
    </cacheField>
    <cacheField name="Site_Dept" numFmtId="0">
      <sharedItems/>
    </cacheField>
    <cacheField name="Dept_Match" numFmtId="0">
      <sharedItems/>
    </cacheField>
    <cacheField name="Opened_Clean" numFmtId="14">
      <sharedItems containsSemiMixedTypes="0" containsNonDate="0" containsDate="1" containsString="0" minDate="2026-01-22T00:00:00" maxDate="2026-09-25T00:00:00"/>
    </cacheField>
    <cacheField name="Handoff_Days" numFmtId="0">
      <sharedItems containsMixedTypes="1" containsNumber="1" containsInteger="1" minValue="0" maxValue="16"/>
    </cacheField>
    <cacheField name="Time_To_Fill" numFmtId="0">
      <sharedItems containsMixedTypes="1" containsNumber="1" containsInteger="1" minValue="27" maxValue="89"/>
    </cacheField>
    <cacheField name="Dept_Clean" numFmtId="0">
      <sharedItems count="10">
        <s v="Research"/>
        <s v="Sales"/>
        <s v="Information Technology"/>
        <s v="Finance"/>
        <s v="Product Mgmt"/>
        <s v="Events"/>
        <s v="Mktg &amp; Comms"/>
        <s v="Consulting Services"/>
        <s v="HR"/>
        <s v="Data and Analytics"/>
      </sharedItems>
    </cacheField>
  </cacheFields>
  <extLst>
    <ext xmlns:x14="http://schemas.microsoft.com/office/spreadsheetml/2009/9/main" uri="{725AE2AE-9491-48be-B2B4-4EB974FC3084}">
      <x14:pivotCacheDefinition pivotCacheId="10582721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4101"/>
    <s v="RR-26-0002"/>
    <s v="Research Director"/>
    <x v="0"/>
    <s v="Elena Vasquez"/>
    <x v="0"/>
    <s v="Remote (US)"/>
    <d v="2026-01-22T00:00:00"/>
    <s v="Filled"/>
    <d v="2026-02-23T00:00:00"/>
    <s v="Careers Site"/>
    <n v="45"/>
    <s v="RR-26-0002"/>
    <x v="0"/>
    <s v="OK"/>
    <s v="Research Director"/>
    <b v="1"/>
    <s v="Elena Vasquez"/>
    <b v="1"/>
    <s v="Research"/>
    <b v="1"/>
    <d v="2026-01-22T00:00:00"/>
    <n v="1"/>
    <n v="33"/>
    <x v="0"/>
  </r>
  <r>
    <n v="4102"/>
    <s v="RR-26-0003"/>
    <s v="Sales Operations Analyst"/>
    <x v="1"/>
    <s v="Carlos Mendes"/>
    <x v="1"/>
    <s v="London"/>
    <d v="2026-01-26T00:00:00"/>
    <s v="Filled"/>
    <d v="2026-03-06T00:00:00"/>
    <s v="Careers Site"/>
    <n v="62"/>
    <s v="RR-26-0003"/>
    <x v="0"/>
    <s v="OK"/>
    <s v="Sales Operations Analyst"/>
    <b v="1"/>
    <s v="Carlos Mendes"/>
    <b v="1"/>
    <s v="Sales"/>
    <b v="1"/>
    <d v="2026-01-26T00:00:00"/>
    <n v="3"/>
    <n v="42"/>
    <x v="1"/>
  </r>
  <r>
    <n v="4103"/>
    <s v="RR-26-0001"/>
    <s v="Systems Administrator"/>
    <x v="2"/>
    <s v="Kevin Doyle"/>
    <x v="2"/>
    <s v="London"/>
    <d v="2026-01-28T00:00:00"/>
    <s v="Filled"/>
    <d v="2026-02-26T00:00:00"/>
    <s v="Internal Move"/>
    <n v="60"/>
    <s v="RR-26-0001"/>
    <x v="0"/>
    <s v="OK"/>
    <s v="Systems Administrator"/>
    <b v="1"/>
    <s v="Kevin Doyle"/>
    <b v="1"/>
    <s v="IT"/>
    <b v="1"/>
    <d v="2026-01-28T00:00:00"/>
    <n v="2"/>
    <n v="31"/>
    <x v="2"/>
  </r>
  <r>
    <n v="4104"/>
    <s v="RR-26-0006"/>
    <s v="Financial Analyst"/>
    <x v="3"/>
    <s v="Paul Mercer"/>
    <x v="3"/>
    <s v="London"/>
    <d v="2026-02-02T00:00:00"/>
    <s v="Filled"/>
    <d v="2026-04-15T00:00:00"/>
    <s v="Employee Referral"/>
    <n v="42"/>
    <s v="RR-26-0006"/>
    <x v="0"/>
    <s v="OK"/>
    <s v="Financial Analyst"/>
    <b v="1"/>
    <s v="Paul Mercer"/>
    <b v="1"/>
    <s v="Finance"/>
    <b v="1"/>
    <d v="2026-02-02T00:00:00"/>
    <n v="0"/>
    <n v="72"/>
    <x v="3"/>
  </r>
  <r>
    <n v="4105"/>
    <s v="RR-26-0007"/>
    <s v="Product Manager"/>
    <x v="4"/>
    <s v="Daniel Osei"/>
    <x v="2"/>
    <s v="Boston"/>
    <d v="2026-02-05T00:00:00"/>
    <s v="Filled"/>
    <d v="2026-04-01T00:00:00"/>
    <s v="Internal Move"/>
    <n v="44"/>
    <s v="RR-26-0007"/>
    <x v="0"/>
    <s v="OK"/>
    <s v="Product Manager"/>
    <b v="1"/>
    <s v="Daniel Osei"/>
    <b v="1"/>
    <s v="Product"/>
    <b v="1"/>
    <d v="2026-02-05T00:00:00"/>
    <n v="3"/>
    <n v="58"/>
    <x v="4"/>
  </r>
  <r>
    <n v="4106"/>
    <s v="RR-26-0004"/>
    <s v="Account Executive"/>
    <x v="1"/>
    <s v="Michael Grant"/>
    <x v="1"/>
    <s v="Boston"/>
    <d v="2026-02-11T00:00:00"/>
    <s v="Filled"/>
    <d v="2026-03-25T00:00:00"/>
    <s v="LinkedIn"/>
    <n v="75"/>
    <s v="RR-26-0004"/>
    <x v="0"/>
    <s v="OK"/>
    <s v="Account Executive"/>
    <b v="1"/>
    <s v="Michael Grant"/>
    <b v="1"/>
    <s v="Sales"/>
    <b v="1"/>
    <d v="2026-02-11T00:00:00"/>
    <n v="16"/>
    <n v="58"/>
    <x v="1"/>
  </r>
  <r>
    <n v="4107"/>
    <s v="RR-26-0005"/>
    <s v="Event Coordinator"/>
    <x v="5"/>
    <s v="Victor Salgado"/>
    <x v="1"/>
    <s v="London"/>
    <d v="2026-02-11T00:00:00"/>
    <s v="Filled"/>
    <d v="2026-04-13T00:00:00"/>
    <s v="LinkedIn"/>
    <n v="41"/>
    <s v="RR-26-0005"/>
    <x v="0"/>
    <s v="OK"/>
    <s v="Event Coordinator"/>
    <b v="1"/>
    <s v="Victor Salgado"/>
    <b v="1"/>
    <s v="Events"/>
    <b v="1"/>
    <d v="2026-02-11T00:00:00"/>
    <n v="16"/>
    <n v="77"/>
    <x v="5"/>
  </r>
  <r>
    <n v="4108"/>
    <s v="RR-26-0008"/>
    <s v="Sales Operations Analyst"/>
    <x v="1"/>
    <s v="Jasmine Reid"/>
    <x v="1"/>
    <s v="London"/>
    <d v="2026-02-13T00:00:00"/>
    <s v="Filled"/>
    <d v="2026-04-24T00:00:00"/>
    <s v="Employee Referral"/>
    <n v="31"/>
    <s v="RR-26-0008"/>
    <x v="0"/>
    <s v="OK"/>
    <s v="Sales Operations Analyst"/>
    <b v="1"/>
    <s v="Jasmine Reid"/>
    <b v="1"/>
    <s v="Sales"/>
    <b v="1"/>
    <d v="2026-02-13T00:00:00"/>
    <n v="14"/>
    <n v="84"/>
    <x v="1"/>
  </r>
  <r>
    <n v="4109"/>
    <s v="RR-26-0009"/>
    <s v="Account Executive"/>
    <x v="6"/>
    <s v="Carlos Mendes"/>
    <x v="1"/>
    <s v="Boston"/>
    <d v="2026-02-23T00:00:00"/>
    <s v="Filled"/>
    <d v="2026-04-20T00:00:00"/>
    <s v="Agency"/>
    <n v="54"/>
    <s v="RR-26-0009"/>
    <x v="0"/>
    <s v="OK"/>
    <s v="Account Executive"/>
    <b v="1"/>
    <s v="Carlos Mendes"/>
    <b v="1"/>
    <s v="Sales"/>
    <b v="1"/>
    <d v="2026-02-23T00:00:00"/>
    <n v="6"/>
    <n v="62"/>
    <x v="1"/>
  </r>
  <r>
    <n v="4110"/>
    <s v="RR-26-0011"/>
    <s v="Product Marketing Manager"/>
    <x v="7"/>
    <s v="Olivia Chen"/>
    <x v="1"/>
    <s v="Boston"/>
    <d v="2026-02-23T00:00:00"/>
    <s v="Filled"/>
    <d v="2026-05-06T00:00:00"/>
    <s v="LinkedIn"/>
    <n v="53"/>
    <s v="RR-26-0011"/>
    <x v="0"/>
    <s v="OK"/>
    <s v="Product Marketing Manager"/>
    <b v="1"/>
    <s v="Olivia Chen"/>
    <b v="1"/>
    <s v="Marketing"/>
    <b v="1"/>
    <d v="2026-02-23T00:00:00"/>
    <n v="3"/>
    <n v="75"/>
    <x v="6"/>
  </r>
  <r>
    <n v="4111"/>
    <s v="N/A"/>
    <s v="Event Coordinator"/>
    <x v="5"/>
    <s v="Grace Holloway"/>
    <x v="1"/>
    <s v="Boston"/>
    <d v="2026-03-02T00:00:00"/>
    <s v="Filled"/>
    <d v="2026-04-20T00:00:00"/>
    <s v="Employee Referral"/>
    <n v="64"/>
    <s v="N/A"/>
    <x v="1"/>
    <s v="No request on file"/>
    <s v=""/>
    <s v=""/>
    <s v=""/>
    <s v=""/>
    <s v=""/>
    <s v=""/>
    <d v="2026-03-02T00:00:00"/>
    <s v=""/>
    <s v=""/>
    <x v="5"/>
  </r>
  <r>
    <n v="4112"/>
    <s v="RR-26-0012"/>
    <s v="Senior Product Manager"/>
    <x v="4"/>
    <s v="Daniel Osei"/>
    <x v="2"/>
    <s v="London"/>
    <d v="2026-03-09T00:00:00"/>
    <s v="Cancelled"/>
    <m/>
    <m/>
    <n v="74"/>
    <s v="RR-26-0012"/>
    <x v="0"/>
    <s v="OK"/>
    <s v="Senior Product Manager"/>
    <b v="1"/>
    <s v="Daniel Osei"/>
    <b v="1"/>
    <s v="Product"/>
    <b v="1"/>
    <d v="2026-03-09T00:00:00"/>
    <n v="6"/>
    <s v=""/>
    <x v="4"/>
  </r>
  <r>
    <n v="4113"/>
    <s v="RR-26-0010"/>
    <s v="Event Marketing Manager"/>
    <x v="5"/>
    <s v="Grace Holloway"/>
    <x v="1"/>
    <s v="London"/>
    <d v="2026-03-11T00:00:00"/>
    <s v="Filled"/>
    <d v="2026-04-29T00:00:00"/>
    <s v="LinkedIn"/>
    <n v="20"/>
    <s v="RR-26-0010"/>
    <x v="0"/>
    <s v="OK"/>
    <s v="Event Marketing Manager"/>
    <b v="1"/>
    <s v="Grace Holloway"/>
    <b v="1"/>
    <s v="Events"/>
    <b v="1"/>
    <d v="2026-03-11T00:00:00"/>
    <n v="16"/>
    <n v="65"/>
    <x v="5"/>
  </r>
  <r>
    <n v="4114"/>
    <s v="RR-26-0015"/>
    <s v="Engagement Manager"/>
    <x v="8"/>
    <s v="Sofia Marino"/>
    <x v="0"/>
    <s v="Toronto"/>
    <d v="2026-03-16T00:00:00"/>
    <s v="Filled"/>
    <d v="2026-05-15T00:00:00"/>
    <s v="LinkedIn"/>
    <n v="68"/>
    <s v="RR-26-0015"/>
    <x v="0"/>
    <s v="OK"/>
    <s v="Engagement Manager"/>
    <b v="1"/>
    <s v="Sofia Marino"/>
    <b v="1"/>
    <s v="Consulting"/>
    <b v="1"/>
    <d v="2026-03-16T00:00:00"/>
    <n v="3"/>
    <n v="63"/>
    <x v="7"/>
  </r>
  <r>
    <n v="4115"/>
    <s v="RR-26-0014"/>
    <s v="HRIS Analyst"/>
    <x v="9"/>
    <s v="Julia Novak"/>
    <x v="3"/>
    <s v="Boston"/>
    <d v="2026-03-19T00:00:00"/>
    <s v="Filled"/>
    <d v="2026-05-01T00:00:00"/>
    <s v="Careers Site"/>
    <n v="21"/>
    <s v="RR-26-0014"/>
    <x v="0"/>
    <s v="OK"/>
    <s v="HRIS Analyst"/>
    <b v="1"/>
    <s v="Julia Novak"/>
    <b v="1"/>
    <s v="Human Resources"/>
    <b v="1"/>
    <d v="2026-03-19T00:00:00"/>
    <n v="3"/>
    <n v="46"/>
    <x v="8"/>
  </r>
  <r>
    <n v="4116"/>
    <s v="RR-26-0016"/>
    <s v="Data Engineer"/>
    <x v="10"/>
    <s v="Amy Sorensen"/>
    <x v="2"/>
    <s v="Boston"/>
    <d v="2026-03-20T00:00:00"/>
    <s v="Filled"/>
    <d v="2026-04-14T00:00:00"/>
    <s v="Agency"/>
    <n v="98"/>
    <s v="RR-26-0016"/>
    <x v="0"/>
    <s v="OK"/>
    <s v="Data Engineer"/>
    <b v="1"/>
    <s v="Amy Sorensen"/>
    <b v="1"/>
    <s v="Data &amp; Analytics"/>
    <b v="1"/>
    <d v="2026-03-20T00:00:00"/>
    <n v="2"/>
    <n v="27"/>
    <x v="9"/>
  </r>
  <r>
    <n v="4117"/>
    <s v="RR-26-0020"/>
    <s v="Event Marketing Manager"/>
    <x v="5"/>
    <s v="Grace Holloway"/>
    <x v="1"/>
    <s v="London"/>
    <d v="2026-04-09T00:00:00"/>
    <s v="Filled"/>
    <d v="2026-05-25T00:00:00"/>
    <s v="Employee Referral"/>
    <n v="24"/>
    <s v="RR-26-0020"/>
    <x v="0"/>
    <s v="OK"/>
    <s v="Event Marketing Manager"/>
    <b v="1"/>
    <s v="Grace Holloway"/>
    <b v="1"/>
    <s v="Events"/>
    <b v="1"/>
    <d v="2026-04-09T00:00:00"/>
    <n v="3"/>
    <n v="49"/>
    <x v="5"/>
  </r>
  <r>
    <n v="4118"/>
    <s v="RR-26-0017"/>
    <s v="Senior Accountant"/>
    <x v="3"/>
    <s v="Lisa Tran"/>
    <x v="3"/>
    <s v="Boston"/>
    <d v="2026-04-13T00:00:00"/>
    <s v="Filled"/>
    <d v="2026-06-29T00:00:00"/>
    <s v="LinkedIn"/>
    <n v="44"/>
    <s v="RR-26-0017"/>
    <x v="0"/>
    <s v="OK"/>
    <s v="Senior Accountant"/>
    <b v="1"/>
    <s v="Lisa Tran"/>
    <b v="1"/>
    <s v="Finance"/>
    <b v="1"/>
    <d v="2026-04-13T00:00:00"/>
    <n v="4"/>
    <n v="81"/>
    <x v="3"/>
  </r>
  <r>
    <n v="4119"/>
    <s v="RR-26-0022"/>
    <s v="Content Marketing Manager"/>
    <x v="5"/>
    <s v="Olivia Chen"/>
    <x v="1"/>
    <s v="Boston"/>
    <d v="2026-04-27T00:00:00"/>
    <s v="Filled"/>
    <d v="2026-06-17T00:00:00"/>
    <s v="Employee Referral"/>
    <n v="77"/>
    <s v="RR-26-0022"/>
    <x v="0"/>
    <s v="OK"/>
    <s v="Content Marketing Manager"/>
    <b v="1"/>
    <s v="Olivia Chen"/>
    <b v="1"/>
    <s v="Marketing"/>
    <b v="0"/>
    <d v="2026-04-27T00:00:00"/>
    <n v="13"/>
    <n v="64"/>
    <x v="5"/>
  </r>
  <r>
    <n v="4120"/>
    <s v="RR-26-0021"/>
    <s v="Analytics Engineer"/>
    <x v="10"/>
    <s v="Nikhil Rao"/>
    <x v="2"/>
    <s v="Boston"/>
    <d v="2026-04-30T00:00:00"/>
    <s v="Filled"/>
    <d v="2026-07-06T00:00:00"/>
    <s v="Employee Referral"/>
    <n v="51"/>
    <s v="RR-26-0021"/>
    <x v="0"/>
    <s v="OK"/>
    <s v="Analytics Engineer"/>
    <b v="1"/>
    <s v="Nikhil Rao"/>
    <b v="1"/>
    <s v="Data &amp; Analytics"/>
    <b v="1"/>
    <d v="2026-04-30T00:00:00"/>
    <n v="9"/>
    <n v="76"/>
    <x v="9"/>
  </r>
  <r>
    <n v="4121"/>
    <s v="RR-26-0029 "/>
    <s v="Marketing Operations Specialist"/>
    <x v="7"/>
    <s v="Ethan Park"/>
    <x v="1"/>
    <s v="Boston"/>
    <d v="2026-05-04T00:00:00"/>
    <s v="Filled"/>
    <d v="2026-06-29T00:00:00"/>
    <s v="Agency"/>
    <n v="42"/>
    <s v="RR-26-0029"/>
    <x v="0"/>
    <s v="OK"/>
    <s v=""/>
    <s v=""/>
    <s v=""/>
    <s v=""/>
    <s v=""/>
    <s v=""/>
    <d v="2026-05-04T00:00:00"/>
    <n v="4"/>
    <n v="60"/>
    <x v="6"/>
  </r>
  <r>
    <n v="4122"/>
    <s v="RR-26-0023"/>
    <s v="Benefits Specialist"/>
    <x v="9"/>
    <s v="Robert Hayes"/>
    <x v="3"/>
    <s v="London"/>
    <d v="2026-05-04T00:00:00"/>
    <s v="Cancelled"/>
    <m/>
    <m/>
    <n v="35"/>
    <s v="RR-26-0023"/>
    <x v="0"/>
    <s v="OK"/>
    <s v="Benefits Specialist"/>
    <b v="1"/>
    <s v="Robert Hayes"/>
    <b v="1"/>
    <s v="Human Resources"/>
    <b v="1"/>
    <d v="2026-05-04T00:00:00"/>
    <n v="10"/>
    <s v=""/>
    <x v="8"/>
  </r>
  <r>
    <n v="4123"/>
    <s v="RR-26-0026"/>
    <s v="Research Manager"/>
    <x v="0"/>
    <s v="Brian Cho"/>
    <x v="0"/>
    <s v="Remote (US)"/>
    <d v="2026-05-04T00:00:00"/>
    <s v="Filled"/>
    <d v="2026-06-15T00:00:00"/>
    <s v="Employee Referral"/>
    <n v="103"/>
    <s v="RR-26-0026"/>
    <x v="0"/>
    <s v="OK"/>
    <s v="Research Manager"/>
    <b v="1"/>
    <s v="Brian Cho"/>
    <b v="1"/>
    <s v="Research"/>
    <b v="1"/>
    <d v="2026-05-04T00:00:00"/>
    <n v="4"/>
    <n v="46"/>
    <x v="0"/>
  </r>
  <r>
    <n v="4124"/>
    <s v="RR-26-0027"/>
    <s v="HRIS Analyst"/>
    <x v="9"/>
    <s v="Robert Hayes"/>
    <x v="3"/>
    <s v="Boston"/>
    <d v="2026-05-04T00:00:00"/>
    <s v="Filled"/>
    <d v="2026-06-01T00:00:00"/>
    <s v="Employee Referral"/>
    <n v="49"/>
    <s v="RR-26-0027"/>
    <x v="0"/>
    <s v="OK"/>
    <s v="HRIS Analyst"/>
    <b v="1"/>
    <s v="Robert Hayes"/>
    <b v="1"/>
    <s v="Human Resources"/>
    <b v="1"/>
    <d v="2026-05-04T00:00:00"/>
    <n v="5"/>
    <n v="33"/>
    <x v="8"/>
  </r>
  <r>
    <n v="4125"/>
    <s v="RR-26-0030"/>
    <s v="Analytics Engineer"/>
    <x v="10"/>
    <s v="Amy Sorensen"/>
    <x v="2"/>
    <s v="Boston"/>
    <d v="2026-05-07T00:00:00"/>
    <s v="Filled"/>
    <d v="2026-07-20T00:00:00"/>
    <s v="Employee Referral"/>
    <n v="85"/>
    <s v="RR-26-0030"/>
    <x v="0"/>
    <s v="OK"/>
    <s v="Analytics Engineer"/>
    <b v="1"/>
    <s v="Amy Sorensen"/>
    <b v="1"/>
    <s v="Data &amp; Analytics"/>
    <b v="1"/>
    <d v="2026-05-07T00:00:00"/>
    <n v="3"/>
    <n v="77"/>
    <x v="9"/>
  </r>
  <r>
    <n v="4126"/>
    <s v=" RR-26-0028"/>
    <s v="IT Support Specialist"/>
    <x v="2"/>
    <s v="Fatima Hassan"/>
    <x v="2"/>
    <s v="Boston"/>
    <d v="2026-05-11T00:00:00"/>
    <s v="Filled"/>
    <d v="2026-07-22T00:00:00"/>
    <s v="Careers Site"/>
    <n v="32"/>
    <s v="RR-26-0028"/>
    <x v="0"/>
    <s v="OK"/>
    <s v=""/>
    <s v=""/>
    <s v=""/>
    <s v=""/>
    <s v=""/>
    <s v=""/>
    <d v="2026-05-11T00:00:00"/>
    <n v="5"/>
    <n v="77"/>
    <x v="2"/>
  </r>
  <r>
    <n v="4127"/>
    <s v="RR-26-0025"/>
    <s v="Reserach Analyst"/>
    <x v="0"/>
    <s v="Elena Vasquez"/>
    <x v="0"/>
    <s v="Toronto"/>
    <d v="2026-05-11T00:00:00"/>
    <s v="Filled"/>
    <d v="2026-07-27T00:00:00"/>
    <s v="Employee Referral"/>
    <n v="100"/>
    <s v="RR-26-0025"/>
    <x v="0"/>
    <s v="OK"/>
    <s v="Research Analyst"/>
    <b v="0"/>
    <s v="Elena Vasquez"/>
    <b v="1"/>
    <s v="Research"/>
    <b v="1"/>
    <d v="2026-05-11T00:00:00"/>
    <n v="6"/>
    <n v="83"/>
    <x v="0"/>
  </r>
  <r>
    <n v="4128"/>
    <s v="RR-26-0032"/>
    <s v="Research Analyst"/>
    <x v="0"/>
    <s v="Megan O'Neill"/>
    <x v="0"/>
    <s v="Boston"/>
    <d v="2026-05-20T00:00:00"/>
    <s v="Filled"/>
    <d v="2026-07-20T00:00:00"/>
    <s v="Employee Referral"/>
    <n v="105"/>
    <s v="RR-26-0032"/>
    <x v="0"/>
    <s v="OK"/>
    <s v="Research Analyst"/>
    <b v="1"/>
    <s v="Megan O'Neill"/>
    <b v="1"/>
    <s v="Research"/>
    <b v="1"/>
    <d v="2026-05-20T00:00:00"/>
    <n v="2"/>
    <n v="63"/>
    <x v="0"/>
  </r>
  <r>
    <n v="4129"/>
    <s v="RR-26-0033"/>
    <s v="Research Analyst"/>
    <x v="0"/>
    <s v="Elena Vasquez"/>
    <x v="0"/>
    <s v="Boston"/>
    <d v="2026-06-01T00:00:00"/>
    <s v="Filled"/>
    <d v="2026-07-22T00:00:00"/>
    <s v="Careers Site"/>
    <n v="92"/>
    <s v="RR-26-0033"/>
    <x v="0"/>
    <s v="OK"/>
    <s v="Research Analyst"/>
    <b v="1"/>
    <s v="Elena Vasquez"/>
    <b v="1"/>
    <s v="Research"/>
    <b v="1"/>
    <d v="2026-06-01T00:00:00"/>
    <n v="4"/>
    <n v="55"/>
    <x v="0"/>
  </r>
  <r>
    <n v="4130"/>
    <s v="RR-26-0036"/>
    <s v="Sales Development Representative"/>
    <x v="1"/>
    <s v="Carlos Mendes"/>
    <x v="1"/>
    <s v="Boston"/>
    <d v="2026-06-08T00:00:00"/>
    <s v="Filled"/>
    <d v="2026-07-06T00:00:00"/>
    <s v="Employee Referral"/>
    <n v="75"/>
    <s v="RR-26-0036"/>
    <x v="0"/>
    <s v="OK"/>
    <s v="Sales Development Representative"/>
    <b v="1"/>
    <s v="Carlos Mendes"/>
    <b v="1"/>
    <s v="Sales"/>
    <b v="1"/>
    <d v="2026-06-08T00:00:00"/>
    <n v="3"/>
    <n v="31"/>
    <x v="1"/>
  </r>
  <r>
    <n v="4131"/>
    <s v="RR-26-0037"/>
    <s v="Senior Research Analyst"/>
    <x v="0"/>
    <s v="Elena Vasquez"/>
    <x v="0"/>
    <s v="Boston"/>
    <s v="2026-06-09"/>
    <s v="Filled"/>
    <d v="2026-07-30T00:00:00"/>
    <s v="Employee Referral"/>
    <n v="92"/>
    <s v="RR-26-0037"/>
    <x v="0"/>
    <s v="OK"/>
    <s v="Senior Research Analyst"/>
    <b v="1"/>
    <s v="Elena Vasquez"/>
    <b v="1"/>
    <s v="Research"/>
    <b v="1"/>
    <d v="2026-06-09T00:00:00"/>
    <n v="1"/>
    <n v="52"/>
    <x v="0"/>
  </r>
  <r>
    <n v="4132"/>
    <s v="RR-26-0034"/>
    <s v="Sr Consultant"/>
    <x v="8"/>
    <s v="Sofia Marino"/>
    <x v="0"/>
    <s v="Boston"/>
    <d v="2026-06-12T00:00:00"/>
    <s v="Filled"/>
    <d v="2026-08-24T00:00:00"/>
    <s v="Careers Site"/>
    <n v="39"/>
    <s v="RR-26-0034"/>
    <x v="0"/>
    <s v="OK"/>
    <s v="Senior Consultant"/>
    <b v="0"/>
    <s v="Sofia Marino"/>
    <b v="1"/>
    <s v="Consulting"/>
    <b v="1"/>
    <d v="2026-06-12T00:00:00"/>
    <n v="16"/>
    <n v="89"/>
    <x v="7"/>
  </r>
  <r>
    <n v="4133"/>
    <s v="RR-26-0040"/>
    <s v="Account Manager"/>
    <x v="1"/>
    <s v="Carlos Mendes"/>
    <x v="1"/>
    <s v="Toronto"/>
    <d v="2026-06-23T00:00:00"/>
    <s v="Filled"/>
    <d v="2026-07-23T00:00:00"/>
    <s v="Employee Referral"/>
    <n v="63"/>
    <s v="RR-26-0040"/>
    <x v="0"/>
    <s v="OK"/>
    <s v="Account Manager"/>
    <b v="1"/>
    <s v="Carlos Mendes"/>
    <b v="1"/>
    <s v="Sales"/>
    <b v="1"/>
    <d v="2026-06-23T00:00:00"/>
    <n v="1"/>
    <n v="31"/>
    <x v="1"/>
  </r>
  <r>
    <n v="4134"/>
    <s v="RR-26-0038"/>
    <s v="Digital Marketing Analyst"/>
    <x v="7"/>
    <s v="Ethan Park"/>
    <x v="1"/>
    <s v="Boston"/>
    <s v="2026-07-01"/>
    <s v="Filled"/>
    <d v="2026-08-10T00:00:00"/>
    <s v="LinkedIn"/>
    <n v="26"/>
    <s v="RR-26-0038"/>
    <x v="0"/>
    <s v="OK"/>
    <s v="Digital Marketing Analyst"/>
    <b v="1"/>
    <s v="Ethan Park"/>
    <b v="1"/>
    <s v="Marketing"/>
    <b v="1"/>
    <d v="2026-07-01T00:00:00"/>
    <n v="16"/>
    <n v="56"/>
    <x v="6"/>
  </r>
  <r>
    <n v="4135"/>
    <s v="RR-26-0043"/>
    <s v="UX Designer"/>
    <x v="4"/>
    <s v="Leah Goldberg"/>
    <x v="2"/>
    <s v="Remote (US)"/>
    <d v="2026-07-06T00:00:00"/>
    <s v="Filled"/>
    <d v="2026-08-10T00:00:00"/>
    <s v="Careers Site"/>
    <n v="59"/>
    <s v="RR-26-0043"/>
    <x v="0"/>
    <s v="OK"/>
    <s v="UX Designer"/>
    <b v="1"/>
    <s v="Leah Goldberg"/>
    <b v="1"/>
    <s v="Product"/>
    <b v="1"/>
    <d v="2026-07-06T00:00:00"/>
    <n v="6"/>
    <n v="41"/>
    <x v="4"/>
  </r>
  <r>
    <n v="4136"/>
    <s v="RR-26-0047"/>
    <s v="Research Associate"/>
    <x v="0"/>
    <s v="Brian Cho"/>
    <x v="0"/>
    <s v="Boston"/>
    <d v="2026-07-07T00:00:00"/>
    <s v="Filled"/>
    <d v="2026-08-10T00:00:00"/>
    <s v="Employee Referral"/>
    <n v="107"/>
    <s v="RR-26-0047"/>
    <x v="0"/>
    <s v="OK"/>
    <s v="Research Associate"/>
    <b v="1"/>
    <s v="Brian Cho"/>
    <b v="1"/>
    <s v="Research"/>
    <b v="1"/>
    <d v="2026-07-07T00:00:00"/>
    <n v="1"/>
    <n v="35"/>
    <x v="0"/>
  </r>
  <r>
    <n v="4137"/>
    <s v="RR-26-0044"/>
    <s v="Analytics Engineer"/>
    <x v="10"/>
    <s v="Nikhil Rao"/>
    <x v="2"/>
    <s v="London"/>
    <d v="2026-07-09T00:00:00"/>
    <s v="Filled"/>
    <d v="2026-09-01T00:00:00"/>
    <s v="Employee Referral"/>
    <n v="84"/>
    <s v="RR-26-0044"/>
    <x v="0"/>
    <s v="OK"/>
    <s v="Analytics Engineer"/>
    <b v="1"/>
    <s v="Nikhil Rao"/>
    <b v="1"/>
    <s v="Data &amp; Analytics"/>
    <b v="1"/>
    <d v="2026-07-09T00:00:00"/>
    <n v="3"/>
    <n v="57"/>
    <x v="9"/>
  </r>
  <r>
    <n v="4138"/>
    <m/>
    <s v="Research Director"/>
    <x v="0"/>
    <s v="Laura Whitfield"/>
    <x v="0"/>
    <s v="Boston"/>
    <d v="2026-07-14T00:00:00"/>
    <s v="Open"/>
    <m/>
    <m/>
    <n v="41"/>
    <s v=""/>
    <x v="1"/>
    <s v="No request on file"/>
    <s v=""/>
    <s v=""/>
    <s v=""/>
    <s v=""/>
    <s v=""/>
    <s v=""/>
    <d v="2026-07-14T00:00:00"/>
    <s v=""/>
    <s v=""/>
    <x v="0"/>
  </r>
  <r>
    <n v="4139"/>
    <s v="RR-26-0046"/>
    <s v="HR Coordinator"/>
    <x v="11"/>
    <s v="Robert Hayes"/>
    <x v="3"/>
    <s v="Remote (US)"/>
    <d v="2026-07-22T00:00:00"/>
    <s v="Filled"/>
    <d v="2026-09-09T00:00:00"/>
    <s v="Careers Site"/>
    <n v="61"/>
    <s v="RR-26-0046"/>
    <x v="0"/>
    <s v="OK"/>
    <s v="HR Coordinator"/>
    <b v="1"/>
    <s v="Robert Hayes"/>
    <b v="1"/>
    <s v="Human Resources"/>
    <b v="1"/>
    <d v="2026-07-22T00:00:00"/>
    <n v="16"/>
    <n v="65"/>
    <x v="8"/>
  </r>
  <r>
    <n v="4140"/>
    <s v="RR-26-0052 "/>
    <s v="Research Director"/>
    <x v="0"/>
    <s v="Megan O'Neill"/>
    <x v="0"/>
    <s v="Remote (US)"/>
    <d v="2026-07-27T00:00:00"/>
    <s v="Filled"/>
    <d v="2026-08-24T00:00:00"/>
    <s v="LinkedIn"/>
    <n v="45"/>
    <s v="RR-26-0052"/>
    <x v="0"/>
    <s v="OK"/>
    <s v=""/>
    <s v=""/>
    <s v=""/>
    <s v=""/>
    <s v=""/>
    <s v=""/>
    <d v="2026-07-27T00:00:00"/>
    <n v="3"/>
    <n v="31"/>
    <x v="0"/>
  </r>
  <r>
    <n v="4141"/>
    <s v="RR-26-O050"/>
    <s v="Research Analyst"/>
    <x v="0"/>
    <s v="Brian Cho"/>
    <x v="0"/>
    <s v="Boston"/>
    <d v="2026-07-30T00:00:00"/>
    <s v="Filled"/>
    <d v="2026-09-30T00:00:00"/>
    <s v="LinkedIn"/>
    <n v="95"/>
    <s v="RR-26-O050"/>
    <x v="1"/>
    <s v="No request on file"/>
    <s v=""/>
    <s v=""/>
    <s v=""/>
    <s v=""/>
    <s v=""/>
    <s v=""/>
    <d v="2026-07-30T00:00:00"/>
    <s v=""/>
    <s v=""/>
    <x v="0"/>
  </r>
  <r>
    <n v="4142"/>
    <s v="RR-26-0051"/>
    <s v="Research Analyst"/>
    <x v="0"/>
    <s v="Brian Cho"/>
    <x v="0"/>
    <s v="Boston"/>
    <d v="2026-08-03T00:00:00"/>
    <s v="Open"/>
    <m/>
    <m/>
    <n v="46"/>
    <s v="RR-26-0051"/>
    <x v="0"/>
    <s v="OK"/>
    <s v="Research Analyst"/>
    <b v="1"/>
    <s v="Elena Vasquez"/>
    <b v="0"/>
    <s v="Research"/>
    <b v="1"/>
    <d v="2026-08-03T00:00:00"/>
    <n v="11"/>
    <s v=""/>
    <x v="0"/>
  </r>
  <r>
    <n v="4143"/>
    <s v="RR-26-0049"/>
    <s v="Sr. Research Analyst"/>
    <x v="0"/>
    <s v="Megan O'Neill"/>
    <x v="0"/>
    <s v="London"/>
    <d v="2026-08-06T00:00:00"/>
    <s v="Filled"/>
    <d v="2026-09-15T00:00:00"/>
    <s v="Employee Referral"/>
    <n v="54"/>
    <s v="RR-26-0049"/>
    <x v="0"/>
    <s v="OK"/>
    <s v="Senior Research Analyst"/>
    <b v="0"/>
    <s v="Megan O'Neill"/>
    <b v="1"/>
    <s v="Research"/>
    <b v="1"/>
    <d v="2026-08-06T00:00:00"/>
    <n v="16"/>
    <n v="56"/>
    <x v="0"/>
  </r>
  <r>
    <n v="4144"/>
    <s v="RR-26-0053"/>
    <s v="Sponsorship Sales Manager"/>
    <x v="5"/>
    <s v="Grace Holloway"/>
    <x v="1"/>
    <s v="Boston"/>
    <d v="2026-08-10T00:00:00"/>
    <s v="Open"/>
    <m/>
    <m/>
    <n v="18"/>
    <s v="RR-26-0053"/>
    <x v="0"/>
    <s v="OK"/>
    <s v="Sponsorship Sales Manager"/>
    <b v="1"/>
    <s v="Grace Holloway"/>
    <b v="1"/>
    <s v="Events"/>
    <b v="1"/>
    <d v="2026-08-10T00:00:00"/>
    <n v="11"/>
    <s v=""/>
    <x v="5"/>
  </r>
  <r>
    <n v="4145"/>
    <s v="RR-26-0054 "/>
    <s v="Sales Operations Analyst"/>
    <x v="1"/>
    <s v="Jasmine Reid"/>
    <x v="1"/>
    <s v="Boston"/>
    <d v="2026-08-12T00:00:00"/>
    <s v="Open"/>
    <m/>
    <m/>
    <n v="45"/>
    <s v="RR-26-0054"/>
    <x v="0"/>
    <s v="OK"/>
    <s v=""/>
    <s v=""/>
    <s v=""/>
    <s v=""/>
    <s v=""/>
    <s v=""/>
    <d v="2026-08-12T00:00:00"/>
    <n v="5"/>
    <s v=""/>
    <x v="1"/>
  </r>
  <r>
    <n v="4146"/>
    <s v="RR-26-0056"/>
    <s v="Financial Analyst"/>
    <x v="3"/>
    <s v="Paul Mercer"/>
    <x v="3"/>
    <s v="Remote (US)"/>
    <d v="2026-08-19T00:00:00"/>
    <s v="Open"/>
    <m/>
    <m/>
    <n v="51"/>
    <s v="RR-26-0056"/>
    <x v="0"/>
    <s v="OK"/>
    <s v="Financial Analyst"/>
    <b v="1"/>
    <s v="Paul Mercer"/>
    <b v="1"/>
    <s v="Finance"/>
    <b v="1"/>
    <d v="2026-08-19T00:00:00"/>
    <n v="9"/>
    <s v=""/>
    <x v="3"/>
  </r>
  <r>
    <n v="4147"/>
    <s v="RR-26-0055"/>
    <s v="Engagement Manager"/>
    <x v="8"/>
    <s v="Sofia Marino"/>
    <x v="0"/>
    <s v="London"/>
    <d v="2026-08-20T00:00:00"/>
    <s v="On Hold"/>
    <m/>
    <m/>
    <n v="58"/>
    <s v="RR-26-0055"/>
    <x v="0"/>
    <s v="OK"/>
    <s v="Engagement Manager"/>
    <b v="1"/>
    <s v="Sofia Marino"/>
    <b v="1"/>
    <s v="Consulting"/>
    <b v="1"/>
    <d v="2026-08-20T00:00:00"/>
    <n v="3"/>
    <s v=""/>
    <x v="7"/>
  </r>
  <r>
    <n v="4148"/>
    <s v="RR-26-0059"/>
    <s v="Account Manager"/>
    <x v="1"/>
    <s v="Michael Grant"/>
    <x v="1"/>
    <s v="Boston"/>
    <d v="2026-08-20T00:00:00"/>
    <s v="On Hold"/>
    <m/>
    <m/>
    <n v="71"/>
    <s v="RR-26-0059"/>
    <x v="0"/>
    <s v="OK"/>
    <s v="Account Manager"/>
    <b v="1"/>
    <s v="Michael Grant"/>
    <b v="1"/>
    <s v="Sales"/>
    <b v="1"/>
    <d v="2026-08-20T00:00:00"/>
    <n v="2"/>
    <s v=""/>
    <x v="1"/>
  </r>
  <r>
    <n v="4149"/>
    <s v="RR-26-0060"/>
    <s v="Research Associate"/>
    <x v="0"/>
    <s v="Megan O'Neill"/>
    <x v="0"/>
    <s v="Boston"/>
    <d v="2026-09-01T00:00:00"/>
    <s v="Filled"/>
    <d v="2026-09-28T00:00:00"/>
    <s v="LinkedIn"/>
    <n v="89"/>
    <s v="RR-26-0060"/>
    <x v="0"/>
    <s v="OK"/>
    <s v="Research Associate"/>
    <b v="1"/>
    <s v="Megan O'Neill"/>
    <b v="1"/>
    <s v="Research"/>
    <b v="1"/>
    <d v="2026-09-01T00:00:00"/>
    <n v="5"/>
    <n v="32"/>
    <x v="0"/>
  </r>
  <r>
    <n v="4150"/>
    <s v="RR-26-0063"/>
    <s v="Senior Consultant"/>
    <x v="8"/>
    <s v="Sofia Marino"/>
    <x v="0"/>
    <s v="London"/>
    <d v="2026-09-08T00:00:00"/>
    <s v="Open"/>
    <m/>
    <m/>
    <n v="19"/>
    <s v="RR-26-0063"/>
    <x v="0"/>
    <s v="OK"/>
    <s v="Senior Consultant"/>
    <b v="1"/>
    <s v="Sofia Marino"/>
    <b v="1"/>
    <s v="Consulting"/>
    <b v="1"/>
    <d v="2026-09-08T00:00:00"/>
    <n v="0"/>
    <s v=""/>
    <x v="7"/>
  </r>
  <r>
    <n v="4151"/>
    <s v="RR-26-0062"/>
    <s v="Product Manager"/>
    <x v="4"/>
    <s v="Leah Goldberg"/>
    <x v="2"/>
    <s v="Remote (US)"/>
    <d v="2026-09-09T00:00:00"/>
    <s v="Open"/>
    <m/>
    <m/>
    <n v="20"/>
    <s v="RR-26-0062"/>
    <x v="0"/>
    <s v="OK"/>
    <s v="Product Manager"/>
    <b v="1"/>
    <s v="Leah Goldberg"/>
    <b v="1"/>
    <s v="Product"/>
    <b v="1"/>
    <d v="2026-09-09T00:00:00"/>
    <n v="0"/>
    <s v=""/>
    <x v="4"/>
  </r>
  <r>
    <n v="4152"/>
    <s v="RR-26-0061"/>
    <s v="Digital Marketing Analyst"/>
    <x v="7"/>
    <s v="Ethan Park"/>
    <x v="1"/>
    <s v="London"/>
    <d v="2026-09-09T00:00:00"/>
    <s v="Open"/>
    <m/>
    <m/>
    <n v="59"/>
    <s v="RR-26-0061"/>
    <x v="0"/>
    <s v="OK"/>
    <s v="Digital Marketing Analyst"/>
    <b v="1"/>
    <s v="Ethan Park"/>
    <b v="1"/>
    <s v="Marketing"/>
    <b v="1"/>
    <d v="2026-09-09T00:00:00"/>
    <n v="6"/>
    <s v=""/>
    <x v="6"/>
  </r>
  <r>
    <n v="4153"/>
    <s v="RR-26-0065"/>
    <s v="Account Executive"/>
    <x v="1"/>
    <s v="Mike Grant"/>
    <x v="1"/>
    <s v="Boston"/>
    <d v="2026-09-18T00:00:00"/>
    <s v="Open"/>
    <m/>
    <m/>
    <n v="10"/>
    <s v="RR-26-0065"/>
    <x v="0"/>
    <s v="OK"/>
    <s v="Account Executive"/>
    <b v="1"/>
    <s v="Michael Grant"/>
    <b v="0"/>
    <s v="Sales"/>
    <b v="1"/>
    <d v="2026-09-18T00:00:00"/>
    <n v="3"/>
    <s v=""/>
    <x v="1"/>
  </r>
  <r>
    <n v="4154"/>
    <s v="RR-26-0064"/>
    <s v="Account Executive, Enterprise"/>
    <x v="1"/>
    <s v="Jasmine Reid"/>
    <x v="1"/>
    <s v="London"/>
    <d v="2026-09-21T00:00:00"/>
    <s v="Open"/>
    <m/>
    <m/>
    <n v="11"/>
    <s v="RR-26-0064"/>
    <x v="0"/>
    <s v="OK"/>
    <s v="Account Executive"/>
    <b v="0"/>
    <s v="Jasmine Reid"/>
    <b v="1"/>
    <s v="Sales"/>
    <b v="1"/>
    <d v="2026-09-21T00:00:00"/>
    <n v="4"/>
    <s v=""/>
    <x v="1"/>
  </r>
  <r>
    <n v="4155"/>
    <s v="RR-26-0069"/>
    <s v="Sales Operations Analyst"/>
    <x v="1"/>
    <s v="Carlos Mendes"/>
    <x v="1"/>
    <s v="Boston"/>
    <s v="2026-09-23"/>
    <s v="Open"/>
    <m/>
    <m/>
    <n v="16"/>
    <s v="RR-26-0069"/>
    <x v="0"/>
    <s v="OK"/>
    <s v="Sales Operations Analyst"/>
    <b v="1"/>
    <s v="Carlos Mendes"/>
    <b v="1"/>
    <s v="Sales"/>
    <b v="1"/>
    <d v="2026-09-23T00:00:00"/>
    <n v="6"/>
    <s v=""/>
    <x v="1"/>
  </r>
  <r>
    <n v="4156"/>
    <s v="RR-26-0072"/>
    <s v="Sales Operations Analyst"/>
    <x v="1"/>
    <s v="Michael Grant"/>
    <x v="1"/>
    <s v="Boston"/>
    <d v="2026-09-24T00:00:00"/>
    <s v="Open"/>
    <m/>
    <m/>
    <n v="16"/>
    <s v="RR-26-0072"/>
    <x v="2"/>
    <s v="Opened before approval"/>
    <s v="Sales Operations Analyst"/>
    <b v="1"/>
    <s v="Michael Grant"/>
    <b v="1"/>
    <s v="Sales"/>
    <b v="1"/>
    <d v="2026-09-24T00:00:00"/>
    <s v=""/>
    <s v="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4FCF3-389F-4D67-8B07-7AEA66F49ADC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14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Request status" axis="axisCol" compact="0" outline="0" showAll="0">
      <items count="4">
        <item x="0"/>
        <item n="No request on file"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name="Department (cleaned)" axis="axisRow" compact="0" outline="0" showAll="0">
      <items count="11">
        <item x="7"/>
        <item x="9"/>
        <item x="5"/>
        <item x="3"/>
        <item x="8"/>
        <item x="2"/>
        <item x="6"/>
        <item x="4"/>
        <item x="0"/>
        <item x="1"/>
        <item t="default"/>
      </items>
    </pivotField>
  </pivotFields>
  <rowFields count="1">
    <field x="2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Job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cruiter" xr10:uid="{7755B33F-8C08-473C-9200-B14F1BCC32DB}" sourceName="Recruiter">
  <pivotTables>
    <pivotTable tabId="8" name="PivotTable1"/>
  </pivotTables>
  <data>
    <tabular pivotCacheId="105827214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cruiter" xr10:uid="{8F1D873A-EFD9-42CE-B1E9-74B490631AB0}" cache="Slicer_Recruiter" caption="Recruite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8D96-CEA3-48B7-ADB1-C08147C2464D}">
  <sheetPr>
    <tabColor rgb="FF2F5597"/>
  </sheetPr>
  <dimension ref="B1:B35"/>
  <sheetViews>
    <sheetView showGridLines="0" workbookViewId="0">
      <selection activeCell="B13" sqref="B13"/>
    </sheetView>
  </sheetViews>
  <sheetFormatPr defaultRowHeight="15"/>
  <cols>
    <col min="1" max="1" width="3" customWidth="1"/>
    <col min="2" max="2" width="105" customWidth="1"/>
  </cols>
  <sheetData>
    <row r="1" spans="2:2" ht="33.950000000000003" customHeight="1">
      <c r="B1" s="7" t="s">
        <v>0</v>
      </c>
    </row>
    <row r="2" spans="2:2" ht="20.100000000000001" customHeight="1">
      <c r="B2" s="8" t="s">
        <v>1</v>
      </c>
    </row>
    <row r="3" spans="2:2" ht="20.100000000000001" customHeight="1">
      <c r="B3" s="8" t="s">
        <v>2</v>
      </c>
    </row>
    <row r="4" spans="2:2" ht="9.9499999999999993" customHeight="1"/>
    <row r="5" spans="2:2" ht="24" customHeight="1">
      <c r="B5" s="9" t="s">
        <v>3</v>
      </c>
    </row>
    <row r="6" spans="2:2">
      <c r="B6" s="10" t="s">
        <v>4</v>
      </c>
    </row>
    <row r="7" spans="2:2">
      <c r="B7" s="10" t="s">
        <v>5</v>
      </c>
    </row>
    <row r="8" spans="2:2" ht="9.9499999999999993" customHeight="1"/>
    <row r="9" spans="2:2" ht="24" customHeight="1">
      <c r="B9" s="9" t="s">
        <v>6</v>
      </c>
    </row>
    <row r="10" spans="2:2">
      <c r="B10" s="10" t="s">
        <v>7</v>
      </c>
    </row>
    <row r="11" spans="2:2">
      <c r="B11" s="10" t="s">
        <v>8</v>
      </c>
    </row>
    <row r="12" spans="2:2">
      <c r="B12" s="10" t="s">
        <v>9</v>
      </c>
    </row>
    <row r="13" spans="2:2">
      <c r="B13" s="10" t="s">
        <v>10</v>
      </c>
    </row>
    <row r="14" spans="2:2">
      <c r="B14" s="10" t="s">
        <v>11</v>
      </c>
    </row>
    <row r="15" spans="2:2">
      <c r="B15" s="10" t="s">
        <v>12</v>
      </c>
    </row>
    <row r="16" spans="2:2">
      <c r="B16" s="10" t="s">
        <v>13</v>
      </c>
    </row>
    <row r="17" spans="2:2">
      <c r="B17" s="10" t="s">
        <v>14</v>
      </c>
    </row>
    <row r="18" spans="2:2" ht="9.9499999999999993" customHeight="1"/>
    <row r="19" spans="2:2" ht="24" customHeight="1">
      <c r="B19" s="9" t="s">
        <v>15</v>
      </c>
    </row>
    <row r="20" spans="2:2">
      <c r="B20" s="10" t="s">
        <v>16</v>
      </c>
    </row>
    <row r="21" spans="2:2">
      <c r="B21" s="10" t="s">
        <v>17</v>
      </c>
    </row>
    <row r="22" spans="2:2">
      <c r="B22" s="10" t="s">
        <v>18</v>
      </c>
    </row>
    <row r="23" spans="2:2">
      <c r="B23" s="10" t="s">
        <v>19</v>
      </c>
    </row>
    <row r="24" spans="2:2">
      <c r="B24" s="10" t="s">
        <v>20</v>
      </c>
    </row>
    <row r="25" spans="2:2">
      <c r="B25" s="10" t="s">
        <v>21</v>
      </c>
    </row>
    <row r="26" spans="2:2" ht="9.9499999999999993" customHeight="1"/>
    <row r="27" spans="2:2" ht="24" customHeight="1">
      <c r="B27" s="9" t="s">
        <v>22</v>
      </c>
    </row>
    <row r="28" spans="2:2">
      <c r="B28" s="10" t="s">
        <v>23</v>
      </c>
    </row>
    <row r="29" spans="2:2">
      <c r="B29" s="10" t="s">
        <v>24</v>
      </c>
    </row>
    <row r="30" spans="2:2">
      <c r="B30" s="10" t="s">
        <v>25</v>
      </c>
    </row>
    <row r="31" spans="2:2" ht="9.9499999999999993" customHeight="1"/>
    <row r="32" spans="2:2" ht="24" customHeight="1">
      <c r="B32" s="9" t="s">
        <v>26</v>
      </c>
    </row>
    <row r="33" spans="2:2">
      <c r="B33" s="10" t="s">
        <v>27</v>
      </c>
    </row>
    <row r="34" spans="2:2">
      <c r="B34" s="10" t="s">
        <v>28</v>
      </c>
    </row>
    <row r="35" spans="2:2">
      <c r="B3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C57B-6533-44FF-8025-C5522C8778DC}">
  <dimension ref="A1:G17"/>
  <sheetViews>
    <sheetView tabSelected="1" workbookViewId="0">
      <selection activeCell="F1" sqref="F1:G1"/>
    </sheetView>
  </sheetViews>
  <sheetFormatPr defaultRowHeight="14.45"/>
  <cols>
    <col min="1" max="1" width="21" customWidth="1"/>
    <col min="2" max="2" width="10.42578125" bestFit="1" customWidth="1"/>
    <col min="4" max="4" width="16.140625" customWidth="1"/>
    <col min="6" max="6" width="22.5703125" customWidth="1"/>
  </cols>
  <sheetData>
    <row r="1" spans="1:7" ht="21">
      <c r="A1" s="16" t="s">
        <v>0</v>
      </c>
      <c r="F1" s="17" t="s">
        <v>30</v>
      </c>
      <c r="G1" s="17" t="s">
        <v>31</v>
      </c>
    </row>
    <row r="2" spans="1:7" ht="15">
      <c r="A2" t="s">
        <v>32</v>
      </c>
      <c r="B2" s="4">
        <v>46295</v>
      </c>
      <c r="F2" t="s">
        <v>33</v>
      </c>
      <c r="G2">
        <f>COUNTA(ReqSite_Export!A2:A82)</f>
        <v>81</v>
      </c>
    </row>
    <row r="3" spans="1:7" ht="15">
      <c r="F3" t="s">
        <v>34</v>
      </c>
      <c r="G3">
        <f>COUNTIF(ReqSite_Export!J2:J82,"Approved")</f>
        <v>60</v>
      </c>
    </row>
    <row r="4" spans="1:7" ht="15">
      <c r="A4" t="s">
        <v>35</v>
      </c>
      <c r="B4">
        <f>COUNTIF(iCIMS_Export!Q2:Q57,FALSE)</f>
        <v>4</v>
      </c>
      <c r="F4" t="s">
        <v>36</v>
      </c>
      <c r="G4">
        <f>COUNTIF(ReqSite_Export!O2:O82,"Stale gap")</f>
        <v>5</v>
      </c>
    </row>
    <row r="5" spans="1:7" ht="15">
      <c r="A5" t="s">
        <v>37</v>
      </c>
      <c r="B5">
        <f>COUNTIF(iCIMS_Export!S2:S57,FALSE)</f>
        <v>2</v>
      </c>
      <c r="F5" t="s">
        <v>38</v>
      </c>
      <c r="G5">
        <f>COUNTIF(ReqSite_Export!O2:O82,"Recent")</f>
        <v>3</v>
      </c>
    </row>
    <row r="6" spans="1:7" ht="15">
      <c r="A6" t="s">
        <v>39</v>
      </c>
      <c r="B6">
        <f>COUNTIF(iCIMS_Export!U2:U57,FALSE)</f>
        <v>1</v>
      </c>
      <c r="F6" t="s">
        <v>40</v>
      </c>
      <c r="G6">
        <f>COUNTIF(iCIMS_Export!O2:O57,"No request on file")</f>
        <v>3</v>
      </c>
    </row>
    <row r="7" spans="1:7" ht="15">
      <c r="A7" t="s">
        <v>41</v>
      </c>
      <c r="B7">
        <f>COUNTIF(ReqSite_Export!P2:P82,"&gt;1")</f>
        <v>2</v>
      </c>
      <c r="F7" t="s">
        <v>42</v>
      </c>
      <c r="G7">
        <f>COUNTIF(iCIMS_Export!O2:O57,"Opened before approval")</f>
        <v>1</v>
      </c>
    </row>
    <row r="8" spans="1:7" ht="15">
      <c r="A8" t="s">
        <v>43</v>
      </c>
      <c r="B8">
        <f>COUNTIF(iCIMS_Export!H2:H57,"*")</f>
        <v>3</v>
      </c>
      <c r="F8" t="s">
        <v>44</v>
      </c>
      <c r="G8">
        <f>SUM(B4:B6)</f>
        <v>7</v>
      </c>
    </row>
    <row r="9" spans="1:7" ht="15">
      <c r="A9" t="s">
        <v>45</v>
      </c>
      <c r="B9">
        <f>COUNTBLANK(ReqSite_Export!H2:H82)</f>
        <v>3</v>
      </c>
      <c r="F9" t="s">
        <v>46</v>
      </c>
      <c r="G9">
        <f>B7/2</f>
        <v>1</v>
      </c>
    </row>
    <row r="10" spans="1:7" ht="15">
      <c r="F10" t="s">
        <v>47</v>
      </c>
      <c r="G10" s="6">
        <f>AVERAGE(ReqSite_Export!Q2:Q82)</f>
        <v>12.75</v>
      </c>
    </row>
    <row r="11" spans="1:7" ht="15">
      <c r="A11" s="17" t="s">
        <v>48</v>
      </c>
      <c r="B11" s="17" t="s">
        <v>49</v>
      </c>
      <c r="C11" s="17" t="s">
        <v>50</v>
      </c>
      <c r="D11" s="17" t="s">
        <v>51</v>
      </c>
      <c r="F11" t="s">
        <v>52</v>
      </c>
      <c r="G11" s="6" t="str">
        <f>_xlfn.XLOOKUP(MAX(B12:B14),B12:B14,A12:A14)</f>
        <v>2 - Finance</v>
      </c>
    </row>
    <row r="12" spans="1:7" ht="15">
      <c r="A12" s="2" t="str" cm="1">
        <f t="array" ref="A12:A14">_xlfn.UNIQUE(Approvals_Log!B2:B217)</f>
        <v>1 - Dept Head</v>
      </c>
      <c r="B12" s="6">
        <f>AVERAGEIFS(Approvals_Log!$G$2:$G$217,Approvals_Log!$B$2:$B$217,A12,Approvals_Log!$F$2:$F$217,"&lt;&gt;Pending")</f>
        <v>2.6282051282051282</v>
      </c>
      <c r="C12">
        <f>COUNTIFS(Approvals_Log!$F$2:$F$217,"Pending",Approvals_Log!$B$2:$B$217,A12)</f>
        <v>3</v>
      </c>
      <c r="D12">
        <f>COUNTIFS(Approvals_Log!$F$2:$F$217,"Pending",Approvals_Log!$B$2:$B$217,A12,Approvals_Log!$G$2:$G$217,"&gt;=14")</f>
        <v>1</v>
      </c>
      <c r="F12" t="s">
        <v>53</v>
      </c>
      <c r="G12" s="6">
        <f>B16</f>
        <v>6.0192307692307692</v>
      </c>
    </row>
    <row r="13" spans="1:7" ht="15">
      <c r="A13" s="2" t="str">
        <v>2 - Finance</v>
      </c>
      <c r="B13" s="6">
        <f>AVERAGEIFS(Approvals_Log!$G$2:$G$217,Approvals_Log!$B$2:$B$217,A13,Approvals_Log!$F$2:$F$217,"&lt;&gt;Pending")</f>
        <v>7.4242424242424239</v>
      </c>
      <c r="C13">
        <f>COUNTIFS(Approvals_Log!$F$2:$F$217,"Pending",Approvals_Log!$B$2:$B$217,A13)</f>
        <v>7</v>
      </c>
      <c r="D13">
        <f>COUNTIFS(Approvals_Log!$F$2:$F$217,"Pending",Approvals_Log!$B$2:$B$217,A13,Approvals_Log!$G$2:$G$217,"&gt;=14")</f>
        <v>3</v>
      </c>
      <c r="F13" t="s">
        <v>54</v>
      </c>
      <c r="G13" s="6">
        <f>B17</f>
        <v>56.131578947368418</v>
      </c>
    </row>
    <row r="14" spans="1:7" ht="15">
      <c r="A14" s="2" t="str">
        <v>3 - HR Business Partner</v>
      </c>
      <c r="B14" s="6">
        <f>AVERAGEIFS(Approvals_Log!$G$2:$G$217,Approvals_Log!$B$2:$B$217,A14,Approvals_Log!$F$2:$F$217,"&lt;&gt;Pending")</f>
        <v>2.6333333333333333</v>
      </c>
      <c r="C14">
        <f>COUNTIFS(Approvals_Log!$F$2:$F$217,"Pending",Approvals_Log!$B$2:$B$217,A14)</f>
        <v>2</v>
      </c>
      <c r="D14">
        <f>COUNTIFS(Approvals_Log!$F$2:$F$217,"Pending",Approvals_Log!$B$2:$B$217,A14,Approvals_Log!$G$2:$G$217,"&gt;=14")</f>
        <v>0</v>
      </c>
    </row>
    <row r="16" spans="1:7" ht="15">
      <c r="A16" t="s">
        <v>53</v>
      </c>
      <c r="B16" s="6">
        <f>AVERAGE(iCIMS_Export!W2:W57)</f>
        <v>6.0192307692307692</v>
      </c>
    </row>
    <row r="17" spans="1:2" ht="15">
      <c r="A17" t="s">
        <v>54</v>
      </c>
      <c r="B17" s="6">
        <f>AVERAGE(iCIMS_Export!X2:X57)</f>
        <v>56.131578947368418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2"/>
  <sheetViews>
    <sheetView topLeftCell="B1" workbookViewId="0">
      <pane ySplit="1" topLeftCell="F56" activePane="bottomLeft" state="frozen"/>
      <selection pane="bottomLeft" activeCell="Q2" sqref="Q2"/>
    </sheetView>
  </sheetViews>
  <sheetFormatPr defaultRowHeight="14.45"/>
  <cols>
    <col min="1" max="2" width="13" customWidth="1"/>
    <col min="3" max="3" width="18" customWidth="1"/>
    <col min="4" max="4" width="17" customWidth="1"/>
    <col min="5" max="5" width="32" customWidth="1"/>
    <col min="6" max="6" width="15" customWidth="1"/>
    <col min="7" max="7" width="16" customWidth="1"/>
    <col min="8" max="9" width="13" customWidth="1"/>
    <col min="10" max="10" width="17" customWidth="1"/>
    <col min="11" max="11" width="18" customWidth="1"/>
    <col min="12" max="12" width="13.5703125" customWidth="1"/>
    <col min="13" max="13" width="15.28515625" customWidth="1"/>
    <col min="14" max="14" width="19.5703125" customWidth="1"/>
    <col min="15" max="15" width="11.42578125" customWidth="1"/>
    <col min="16" max="16" width="11.28515625" customWidth="1"/>
    <col min="17" max="17" width="14.140625" customWidth="1"/>
  </cols>
  <sheetData>
    <row r="1" spans="1:17" ht="1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4" t="s">
        <v>66</v>
      </c>
      <c r="M1" s="14" t="s">
        <v>67</v>
      </c>
      <c r="N1" s="14" t="s">
        <v>68</v>
      </c>
      <c r="O1" s="14" t="s">
        <v>69</v>
      </c>
      <c r="P1" s="14" t="s">
        <v>70</v>
      </c>
      <c r="Q1" s="14" t="s">
        <v>71</v>
      </c>
    </row>
    <row r="2" spans="1:17">
      <c r="A2" s="2" t="s">
        <v>72</v>
      </c>
      <c r="B2" s="3">
        <v>46027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>
        <v>46111</v>
      </c>
      <c r="J2" s="2" t="s">
        <v>34</v>
      </c>
      <c r="K2" s="3">
        <v>46048</v>
      </c>
      <c r="L2" t="str">
        <f>IF(COUNTIF(iCIMS_Export!M:M,A2)&gt;0,"Yes","No")</f>
        <v>Yes</v>
      </c>
      <c r="M2">
        <f>_xlfn.XLOOKUP(A2,iCIMS_Export!$M$2:$M$57,iCIMS_Export!$A$2:$A$57,"")</f>
        <v>4103</v>
      </c>
      <c r="N2">
        <f>IF(J2="Approved",Dashboard!$B$2-K2,"")</f>
        <v>247</v>
      </c>
      <c r="O2" t="str">
        <f>IF(AND(J2="Approved",L2="No"),IF(N2&gt;7,"Stale gap","Recent"),"")</f>
        <v/>
      </c>
      <c r="P2">
        <f>COUNTIFS($C$2:$C$82,C2,$E$2:$E$82,E2,$B$2:$B$82,"&gt;="&amp;B2-7,$B$2:$B$82,"&lt;="&amp;B2+7)</f>
        <v>1</v>
      </c>
      <c r="Q2">
        <f>IF(J2="Approved",K2-B2,"")</f>
        <v>21</v>
      </c>
    </row>
    <row r="3" spans="1:17">
      <c r="A3" s="2" t="s">
        <v>79</v>
      </c>
      <c r="B3" s="3">
        <v>46030</v>
      </c>
      <c r="C3" s="2" t="s">
        <v>80</v>
      </c>
      <c r="D3" s="2" t="s">
        <v>81</v>
      </c>
      <c r="E3" s="2" t="s">
        <v>82</v>
      </c>
      <c r="F3" s="2" t="s">
        <v>76</v>
      </c>
      <c r="G3" s="2" t="s">
        <v>77</v>
      </c>
      <c r="H3" s="2" t="s">
        <v>83</v>
      </c>
      <c r="I3" s="3">
        <v>46111</v>
      </c>
      <c r="J3" s="2" t="s">
        <v>34</v>
      </c>
      <c r="K3" s="3">
        <v>46043</v>
      </c>
      <c r="L3" t="str">
        <f>IF(COUNTIF(iCIMS_Export!M:M,A3)&gt;0,"Yes","No")</f>
        <v>Yes</v>
      </c>
      <c r="M3">
        <f>_xlfn.XLOOKUP(A3,iCIMS_Export!$M$2:$M$57,iCIMS_Export!$A$2:$A$57,"")</f>
        <v>4101</v>
      </c>
      <c r="N3">
        <f>IF(J3="Approved",Dashboard!$B$2-K3,"")</f>
        <v>252</v>
      </c>
      <c r="O3" t="str">
        <f t="shared" ref="O3:O66" si="0">IF(AND(J3="Approved",L3="No"),IF(N3&gt;7,"Stale gap","Recent"),"")</f>
        <v/>
      </c>
      <c r="P3">
        <f t="shared" ref="P3:P66" si="1">COUNTIFS($C$2:$C$82,C3,$E$2:$E$82,E3,$B$2:$B$82,"&gt;="&amp;B3-7,$B$2:$B$82,"&lt;="&amp;B3+7)</f>
        <v>1</v>
      </c>
      <c r="Q3">
        <f t="shared" ref="Q3:Q66" si="2">IF(J3="Approved",K3-B3,"")</f>
        <v>13</v>
      </c>
    </row>
    <row r="4" spans="1:17">
      <c r="A4" s="2" t="s">
        <v>84</v>
      </c>
      <c r="B4" s="3">
        <v>46035</v>
      </c>
      <c r="C4" s="2" t="s">
        <v>85</v>
      </c>
      <c r="D4" s="2" t="s">
        <v>86</v>
      </c>
      <c r="E4" s="2" t="s">
        <v>87</v>
      </c>
      <c r="F4" s="2" t="s">
        <v>88</v>
      </c>
      <c r="G4" s="2" t="s">
        <v>89</v>
      </c>
      <c r="H4" s="2" t="s">
        <v>78</v>
      </c>
      <c r="I4" s="3">
        <v>46083</v>
      </c>
      <c r="J4" s="2" t="s">
        <v>34</v>
      </c>
      <c r="K4" s="3">
        <v>46045</v>
      </c>
      <c r="L4" t="str">
        <f>IF(COUNTIF(iCIMS_Export!M:M,A4)&gt;0,"Yes","No")</f>
        <v>Yes</v>
      </c>
      <c r="M4">
        <f>_xlfn.XLOOKUP(A4,iCIMS_Export!$M$2:$M$57,iCIMS_Export!$A$2:$A$57,"")</f>
        <v>4102</v>
      </c>
      <c r="N4">
        <f>IF(J4="Approved",Dashboard!$B$2-K4,"")</f>
        <v>250</v>
      </c>
      <c r="O4" t="str">
        <f t="shared" si="0"/>
        <v/>
      </c>
      <c r="P4">
        <f t="shared" si="1"/>
        <v>1</v>
      </c>
      <c r="Q4">
        <f t="shared" si="2"/>
        <v>10</v>
      </c>
    </row>
    <row r="5" spans="1:17">
      <c r="A5" s="2" t="s">
        <v>90</v>
      </c>
      <c r="B5" s="3">
        <v>46037</v>
      </c>
      <c r="C5" s="2" t="s">
        <v>91</v>
      </c>
      <c r="D5" s="2" t="s">
        <v>86</v>
      </c>
      <c r="E5" s="2" t="s">
        <v>92</v>
      </c>
      <c r="F5" s="2" t="s">
        <v>88</v>
      </c>
      <c r="G5" s="2" t="s">
        <v>77</v>
      </c>
      <c r="H5" s="2" t="s">
        <v>93</v>
      </c>
      <c r="I5" s="3">
        <v>46120</v>
      </c>
      <c r="J5" s="2" t="s">
        <v>34</v>
      </c>
      <c r="K5" s="3">
        <v>46048</v>
      </c>
      <c r="L5" t="str">
        <f>IF(COUNTIF(iCIMS_Export!M:M,A5)&gt;0,"Yes","No")</f>
        <v>Yes</v>
      </c>
      <c r="M5">
        <f>_xlfn.XLOOKUP(A5,iCIMS_Export!$M$2:$M$57,iCIMS_Export!$A$2:$A$57,"")</f>
        <v>4106</v>
      </c>
      <c r="N5">
        <f>IF(J5="Approved",Dashboard!$B$2-K5,"")</f>
        <v>247</v>
      </c>
      <c r="O5" t="str">
        <f t="shared" si="0"/>
        <v/>
      </c>
      <c r="P5">
        <f t="shared" si="1"/>
        <v>1</v>
      </c>
      <c r="Q5">
        <f t="shared" si="2"/>
        <v>11</v>
      </c>
    </row>
    <row r="6" spans="1:17">
      <c r="A6" s="2" t="s">
        <v>94</v>
      </c>
      <c r="B6" s="3">
        <v>46038</v>
      </c>
      <c r="C6" s="2" t="s">
        <v>95</v>
      </c>
      <c r="D6" s="2" t="s">
        <v>96</v>
      </c>
      <c r="E6" s="2" t="s">
        <v>97</v>
      </c>
      <c r="F6" s="2" t="s">
        <v>88</v>
      </c>
      <c r="G6" s="2" t="s">
        <v>77</v>
      </c>
      <c r="H6" s="2" t="s">
        <v>78</v>
      </c>
      <c r="I6" s="3">
        <v>46090</v>
      </c>
      <c r="J6" s="2" t="s">
        <v>34</v>
      </c>
      <c r="K6" s="3">
        <v>46048</v>
      </c>
      <c r="L6" t="str">
        <f>IF(COUNTIF(iCIMS_Export!M:M,A6)&gt;0,"Yes","No")</f>
        <v>Yes</v>
      </c>
      <c r="M6">
        <f>_xlfn.XLOOKUP(A6,iCIMS_Export!$M$2:$M$57,iCIMS_Export!$A$2:$A$57,"")</f>
        <v>4107</v>
      </c>
      <c r="N6">
        <f>IF(J6="Approved",Dashboard!$B$2-K6,"")</f>
        <v>247</v>
      </c>
      <c r="O6" t="str">
        <f t="shared" si="0"/>
        <v/>
      </c>
      <c r="P6">
        <f t="shared" si="1"/>
        <v>1</v>
      </c>
      <c r="Q6">
        <f t="shared" si="2"/>
        <v>10</v>
      </c>
    </row>
    <row r="7" spans="1:17" ht="15">
      <c r="A7" s="2" t="s">
        <v>98</v>
      </c>
      <c r="B7" s="3">
        <v>46041</v>
      </c>
      <c r="C7" s="2" t="s">
        <v>99</v>
      </c>
      <c r="D7" s="2" t="s">
        <v>100</v>
      </c>
      <c r="E7" s="2" t="s">
        <v>101</v>
      </c>
      <c r="F7" s="2" t="s">
        <v>88</v>
      </c>
      <c r="G7" s="2" t="s">
        <v>77</v>
      </c>
      <c r="H7" s="2" t="s">
        <v>78</v>
      </c>
      <c r="I7" s="3">
        <v>46104</v>
      </c>
      <c r="J7" s="2" t="s">
        <v>34</v>
      </c>
      <c r="K7" s="3">
        <v>46055</v>
      </c>
      <c r="L7" t="str">
        <f>IF(COUNTIF(iCIMS_Export!M:M,A7)&gt;0,"Yes","No")</f>
        <v>Yes</v>
      </c>
      <c r="M7">
        <f>_xlfn.XLOOKUP(A7,iCIMS_Export!$M$2:$M$57,iCIMS_Export!$A$2:$A$57,"")</f>
        <v>4104</v>
      </c>
      <c r="N7">
        <f>IF(J7="Approved",Dashboard!$B$2-K7,"")</f>
        <v>240</v>
      </c>
      <c r="O7" t="str">
        <f t="shared" si="0"/>
        <v/>
      </c>
      <c r="P7">
        <f t="shared" si="1"/>
        <v>1</v>
      </c>
      <c r="Q7">
        <f t="shared" si="2"/>
        <v>14</v>
      </c>
    </row>
    <row r="8" spans="1:17">
      <c r="A8" s="2" t="s">
        <v>102</v>
      </c>
      <c r="B8" s="3">
        <v>46042</v>
      </c>
      <c r="C8" s="2" t="s">
        <v>103</v>
      </c>
      <c r="D8" s="2" t="s">
        <v>104</v>
      </c>
      <c r="E8" s="2" t="s">
        <v>105</v>
      </c>
      <c r="F8" s="2" t="s">
        <v>88</v>
      </c>
      <c r="G8" s="2" t="s">
        <v>77</v>
      </c>
      <c r="H8" s="2" t="s">
        <v>93</v>
      </c>
      <c r="I8" s="3">
        <v>46115</v>
      </c>
      <c r="J8" s="2" t="s">
        <v>34</v>
      </c>
      <c r="K8" s="3">
        <v>46055</v>
      </c>
      <c r="L8" t="str">
        <f>IF(COUNTIF(iCIMS_Export!M:M,A8)&gt;0,"Yes","No")</f>
        <v>Yes</v>
      </c>
      <c r="M8">
        <f>_xlfn.XLOOKUP(A8,iCIMS_Export!$M$2:$M$57,iCIMS_Export!$A$2:$A$57,"")</f>
        <v>4105</v>
      </c>
      <c r="N8">
        <f>IF(J8="Approved",Dashboard!$B$2-K8,"")</f>
        <v>240</v>
      </c>
      <c r="O8" t="str">
        <f t="shared" si="0"/>
        <v/>
      </c>
      <c r="P8">
        <f t="shared" si="1"/>
        <v>1</v>
      </c>
      <c r="Q8">
        <f t="shared" si="2"/>
        <v>13</v>
      </c>
    </row>
    <row r="9" spans="1:17">
      <c r="A9" s="2" t="s">
        <v>106</v>
      </c>
      <c r="B9" s="3">
        <v>46044</v>
      </c>
      <c r="C9" s="2" t="s">
        <v>107</v>
      </c>
      <c r="D9" s="2" t="s">
        <v>86</v>
      </c>
      <c r="E9" s="2" t="s">
        <v>87</v>
      </c>
      <c r="F9" s="2" t="s">
        <v>88</v>
      </c>
      <c r="G9" s="2" t="s">
        <v>77</v>
      </c>
      <c r="H9" s="2" t="s">
        <v>78</v>
      </c>
      <c r="I9" s="3">
        <v>46115</v>
      </c>
      <c r="J9" s="2" t="s">
        <v>34</v>
      </c>
      <c r="K9" s="3">
        <v>46052</v>
      </c>
      <c r="L9" t="str">
        <f>IF(COUNTIF(iCIMS_Export!M:M,A9)&gt;0,"Yes","No")</f>
        <v>Yes</v>
      </c>
      <c r="M9">
        <f>_xlfn.XLOOKUP(A9,iCIMS_Export!$M$2:$M$57,iCIMS_Export!$A$2:$A$57,"")</f>
        <v>4108</v>
      </c>
      <c r="N9">
        <f>IF(J9="Approved",Dashboard!$B$2-K9,"")</f>
        <v>243</v>
      </c>
      <c r="O9" t="str">
        <f t="shared" si="0"/>
        <v/>
      </c>
      <c r="P9">
        <f t="shared" si="1"/>
        <v>1</v>
      </c>
      <c r="Q9">
        <f t="shared" si="2"/>
        <v>8</v>
      </c>
    </row>
    <row r="10" spans="1:17">
      <c r="A10" s="2" t="s">
        <v>108</v>
      </c>
      <c r="B10" s="3">
        <v>46049</v>
      </c>
      <c r="C10" s="2" t="s">
        <v>85</v>
      </c>
      <c r="D10" s="2" t="s">
        <v>86</v>
      </c>
      <c r="E10" s="2" t="s">
        <v>92</v>
      </c>
      <c r="F10" s="2" t="s">
        <v>76</v>
      </c>
      <c r="G10" s="2" t="s">
        <v>77</v>
      </c>
      <c r="H10" s="2" t="s">
        <v>93</v>
      </c>
      <c r="I10" s="3">
        <v>46135</v>
      </c>
      <c r="J10" s="2" t="s">
        <v>34</v>
      </c>
      <c r="K10" s="3">
        <v>46070</v>
      </c>
      <c r="L10" t="str">
        <f>IF(COUNTIF(iCIMS_Export!M:M,A10)&gt;0,"Yes","No")</f>
        <v>Yes</v>
      </c>
      <c r="M10">
        <f>_xlfn.XLOOKUP(A10,iCIMS_Export!$M$2:$M$57,iCIMS_Export!$A$2:$A$57,"")</f>
        <v>4109</v>
      </c>
      <c r="N10">
        <f>IF(J10="Approved",Dashboard!$B$2-K10,"")</f>
        <v>225</v>
      </c>
      <c r="O10" t="str">
        <f t="shared" si="0"/>
        <v/>
      </c>
      <c r="P10">
        <f t="shared" si="1"/>
        <v>1</v>
      </c>
      <c r="Q10">
        <f t="shared" si="2"/>
        <v>21</v>
      </c>
    </row>
    <row r="11" spans="1:17">
      <c r="A11" s="2" t="s">
        <v>109</v>
      </c>
      <c r="B11" s="3">
        <v>46056</v>
      </c>
      <c r="C11" s="2" t="s">
        <v>110</v>
      </c>
      <c r="D11" s="2" t="s">
        <v>96</v>
      </c>
      <c r="E11" s="2" t="s">
        <v>111</v>
      </c>
      <c r="F11" s="2" t="s">
        <v>76</v>
      </c>
      <c r="G11" s="2" t="s">
        <v>77</v>
      </c>
      <c r="H11" s="2" t="s">
        <v>78</v>
      </c>
      <c r="I11" s="3">
        <v>46134</v>
      </c>
      <c r="J11" s="2" t="s">
        <v>34</v>
      </c>
      <c r="K11" s="3">
        <v>46076</v>
      </c>
      <c r="L11" t="str">
        <f>IF(COUNTIF(iCIMS_Export!M:M,A11)&gt;0,"Yes","No")</f>
        <v>Yes</v>
      </c>
      <c r="M11">
        <f>_xlfn.XLOOKUP(A11,iCIMS_Export!$M$2:$M$57,iCIMS_Export!$A$2:$A$57,"")</f>
        <v>4113</v>
      </c>
      <c r="N11">
        <f>IF(J11="Approved",Dashboard!$B$2-K11,"")</f>
        <v>219</v>
      </c>
      <c r="O11" t="str">
        <f t="shared" si="0"/>
        <v/>
      </c>
      <c r="P11">
        <f t="shared" si="1"/>
        <v>1</v>
      </c>
      <c r="Q11">
        <f t="shared" si="2"/>
        <v>20</v>
      </c>
    </row>
    <row r="12" spans="1:17">
      <c r="A12" s="2" t="s">
        <v>112</v>
      </c>
      <c r="B12" s="3">
        <v>46064</v>
      </c>
      <c r="C12" s="2" t="s">
        <v>113</v>
      </c>
      <c r="D12" s="2" t="s">
        <v>114</v>
      </c>
      <c r="E12" s="2" t="s">
        <v>115</v>
      </c>
      <c r="F12" s="2" t="s">
        <v>76</v>
      </c>
      <c r="G12" s="2" t="s">
        <v>77</v>
      </c>
      <c r="H12" s="2" t="s">
        <v>93</v>
      </c>
      <c r="I12" s="3">
        <v>46141</v>
      </c>
      <c r="J12" s="2" t="s">
        <v>34</v>
      </c>
      <c r="K12" s="3">
        <v>46073</v>
      </c>
      <c r="L12" t="str">
        <f>IF(COUNTIF(iCIMS_Export!M:M,A12)&gt;0,"Yes","No")</f>
        <v>Yes</v>
      </c>
      <c r="M12">
        <f>_xlfn.XLOOKUP(A12,iCIMS_Export!$M$2:$M$57,iCIMS_Export!$A$2:$A$57,"")</f>
        <v>4110</v>
      </c>
      <c r="N12">
        <f>IF(J12="Approved",Dashboard!$B$2-K12,"")</f>
        <v>222</v>
      </c>
      <c r="O12" t="str">
        <f t="shared" si="0"/>
        <v/>
      </c>
      <c r="P12">
        <f t="shared" si="1"/>
        <v>1</v>
      </c>
      <c r="Q12">
        <f t="shared" si="2"/>
        <v>9</v>
      </c>
    </row>
    <row r="13" spans="1:17">
      <c r="A13" s="2" t="s">
        <v>116</v>
      </c>
      <c r="B13" s="3">
        <v>46076</v>
      </c>
      <c r="C13" s="2" t="s">
        <v>103</v>
      </c>
      <c r="D13" s="2" t="s">
        <v>104</v>
      </c>
      <c r="E13" s="2" t="s">
        <v>117</v>
      </c>
      <c r="F13" s="2" t="s">
        <v>88</v>
      </c>
      <c r="G13" s="2" t="s">
        <v>77</v>
      </c>
      <c r="H13" s="2" t="s">
        <v>78</v>
      </c>
      <c r="I13" s="3">
        <v>46136</v>
      </c>
      <c r="J13" s="2" t="s">
        <v>34</v>
      </c>
      <c r="K13" s="3">
        <v>46084</v>
      </c>
      <c r="L13" t="str">
        <f>IF(COUNTIF(iCIMS_Export!M:M,A13)&gt;0,"Yes","No")</f>
        <v>Yes</v>
      </c>
      <c r="M13">
        <f>_xlfn.XLOOKUP(A13,iCIMS_Export!$M$2:$M$57,iCIMS_Export!$A$2:$A$57,"")</f>
        <v>4112</v>
      </c>
      <c r="N13">
        <f>IF(J13="Approved",Dashboard!$B$2-K13,"")</f>
        <v>211</v>
      </c>
      <c r="O13" t="str">
        <f t="shared" si="0"/>
        <v/>
      </c>
      <c r="P13">
        <f t="shared" si="1"/>
        <v>1</v>
      </c>
      <c r="Q13">
        <f t="shared" si="2"/>
        <v>8</v>
      </c>
    </row>
    <row r="14" spans="1:17">
      <c r="A14" s="2" t="s">
        <v>118</v>
      </c>
      <c r="B14" s="3">
        <v>46078</v>
      </c>
      <c r="C14" s="2" t="s">
        <v>119</v>
      </c>
      <c r="D14" s="2" t="s">
        <v>74</v>
      </c>
      <c r="E14" s="2" t="s">
        <v>120</v>
      </c>
      <c r="F14" s="2" t="s">
        <v>76</v>
      </c>
      <c r="G14" s="2" t="s">
        <v>77</v>
      </c>
      <c r="H14" s="2" t="s">
        <v>93</v>
      </c>
      <c r="I14" s="3">
        <v>46141</v>
      </c>
      <c r="J14" s="2" t="s">
        <v>121</v>
      </c>
      <c r="K14" s="2"/>
      <c r="L14" t="str">
        <f>IF(COUNTIF(iCIMS_Export!M:M,A14)&gt;0,"Yes","No")</f>
        <v>No</v>
      </c>
      <c r="M14" t="str">
        <f>_xlfn.XLOOKUP(A14,iCIMS_Export!$M$2:$M$57,iCIMS_Export!$A$2:$A$57,"")</f>
        <v/>
      </c>
      <c r="N14" t="str">
        <f>IF(J14="Approved",Dashboard!$B$2-K14,"")</f>
        <v/>
      </c>
      <c r="O14" t="str">
        <f t="shared" si="0"/>
        <v/>
      </c>
      <c r="P14">
        <f t="shared" si="1"/>
        <v>1</v>
      </c>
      <c r="Q14" t="str">
        <f t="shared" si="2"/>
        <v/>
      </c>
    </row>
    <row r="15" spans="1:17">
      <c r="A15" s="2" t="s">
        <v>122</v>
      </c>
      <c r="B15" s="3">
        <v>46084</v>
      </c>
      <c r="C15" s="2" t="s">
        <v>123</v>
      </c>
      <c r="D15" s="2" t="s">
        <v>124</v>
      </c>
      <c r="E15" s="2" t="s">
        <v>125</v>
      </c>
      <c r="F15" s="2" t="s">
        <v>76</v>
      </c>
      <c r="G15" s="2" t="s">
        <v>77</v>
      </c>
      <c r="H15" s="2" t="s">
        <v>93</v>
      </c>
      <c r="I15" s="3">
        <v>46162</v>
      </c>
      <c r="J15" s="2" t="s">
        <v>34</v>
      </c>
      <c r="K15" s="3">
        <v>46097</v>
      </c>
      <c r="L15" t="str">
        <f>IF(COUNTIF(iCIMS_Export!M:M,A15)&gt;0,"Yes","No")</f>
        <v>Yes</v>
      </c>
      <c r="M15">
        <f>_xlfn.XLOOKUP(A15,iCIMS_Export!$M$2:$M$57,iCIMS_Export!$A$2:$A$57,"")</f>
        <v>4115</v>
      </c>
      <c r="N15">
        <f>IF(J15="Approved",Dashboard!$B$2-K15,"")</f>
        <v>198</v>
      </c>
      <c r="O15" t="str">
        <f t="shared" si="0"/>
        <v/>
      </c>
      <c r="P15">
        <f t="shared" si="1"/>
        <v>1</v>
      </c>
      <c r="Q15">
        <f t="shared" si="2"/>
        <v>13</v>
      </c>
    </row>
    <row r="16" spans="1:17">
      <c r="A16" s="2" t="s">
        <v>126</v>
      </c>
      <c r="B16" s="3">
        <v>46084</v>
      </c>
      <c r="C16" s="2" t="s">
        <v>127</v>
      </c>
      <c r="D16" s="2" t="s">
        <v>128</v>
      </c>
      <c r="E16" s="2" t="s">
        <v>129</v>
      </c>
      <c r="F16" s="2" t="s">
        <v>88</v>
      </c>
      <c r="G16" s="2" t="s">
        <v>77</v>
      </c>
      <c r="H16" s="2" t="s">
        <v>130</v>
      </c>
      <c r="I16" s="3">
        <v>46164</v>
      </c>
      <c r="J16" s="2" t="s">
        <v>34</v>
      </c>
      <c r="K16" s="3">
        <v>46094</v>
      </c>
      <c r="L16" t="str">
        <f>IF(COUNTIF(iCIMS_Export!M:M,A16)&gt;0,"Yes","No")</f>
        <v>Yes</v>
      </c>
      <c r="M16">
        <f>_xlfn.XLOOKUP(A16,iCIMS_Export!$M$2:$M$57,iCIMS_Export!$A$2:$A$57,"")</f>
        <v>4114</v>
      </c>
      <c r="N16">
        <f>IF(J16="Approved",Dashboard!$B$2-K16,"")</f>
        <v>201</v>
      </c>
      <c r="O16" t="str">
        <f t="shared" si="0"/>
        <v/>
      </c>
      <c r="P16">
        <f t="shared" si="1"/>
        <v>1</v>
      </c>
      <c r="Q16">
        <f t="shared" si="2"/>
        <v>10</v>
      </c>
    </row>
    <row r="17" spans="1:17">
      <c r="A17" s="2" t="s">
        <v>131</v>
      </c>
      <c r="B17" s="3">
        <v>46087</v>
      </c>
      <c r="C17" s="2" t="s">
        <v>132</v>
      </c>
      <c r="D17" s="2" t="s">
        <v>133</v>
      </c>
      <c r="E17" s="2" t="s">
        <v>134</v>
      </c>
      <c r="F17" s="2" t="s">
        <v>88</v>
      </c>
      <c r="G17" s="2" t="s">
        <v>135</v>
      </c>
      <c r="H17" s="2" t="s">
        <v>93</v>
      </c>
      <c r="I17" s="3">
        <v>46167</v>
      </c>
      <c r="J17" s="2" t="s">
        <v>34</v>
      </c>
      <c r="K17" s="3">
        <v>46099</v>
      </c>
      <c r="L17" t="str">
        <f>IF(COUNTIF(iCIMS_Export!M:M,A17)&gt;0,"Yes","No")</f>
        <v>Yes</v>
      </c>
      <c r="M17">
        <f>_xlfn.XLOOKUP(A17,iCIMS_Export!$M$2:$M$57,iCIMS_Export!$A$2:$A$57,"")</f>
        <v>4116</v>
      </c>
      <c r="N17">
        <f>IF(J17="Approved",Dashboard!$B$2-K17,"")</f>
        <v>196</v>
      </c>
      <c r="O17" t="str">
        <f t="shared" si="0"/>
        <v/>
      </c>
      <c r="P17">
        <f t="shared" si="1"/>
        <v>1</v>
      </c>
      <c r="Q17">
        <f t="shared" si="2"/>
        <v>12</v>
      </c>
    </row>
    <row r="18" spans="1:17">
      <c r="A18" s="2" t="s">
        <v>136</v>
      </c>
      <c r="B18" s="3">
        <v>46094</v>
      </c>
      <c r="C18" s="2" t="s">
        <v>137</v>
      </c>
      <c r="D18" s="2" t="s">
        <v>100</v>
      </c>
      <c r="E18" s="2" t="s">
        <v>138</v>
      </c>
      <c r="F18" s="2" t="s">
        <v>88</v>
      </c>
      <c r="G18" s="2" t="s">
        <v>77</v>
      </c>
      <c r="H18" s="2" t="s">
        <v>93</v>
      </c>
      <c r="I18" s="3">
        <v>46148</v>
      </c>
      <c r="J18" s="2" t="s">
        <v>34</v>
      </c>
      <c r="K18" s="3">
        <v>46121</v>
      </c>
      <c r="L18" t="str">
        <f>IF(COUNTIF(iCIMS_Export!M:M,A18)&gt;0,"Yes","No")</f>
        <v>Yes</v>
      </c>
      <c r="M18">
        <f>_xlfn.XLOOKUP(A18,iCIMS_Export!$M$2:$M$57,iCIMS_Export!$A$2:$A$57,"")</f>
        <v>4118</v>
      </c>
      <c r="N18">
        <f>IF(J18="Approved",Dashboard!$B$2-K18,"")</f>
        <v>174</v>
      </c>
      <c r="O18" t="str">
        <f t="shared" si="0"/>
        <v/>
      </c>
      <c r="P18">
        <f t="shared" si="1"/>
        <v>1</v>
      </c>
      <c r="Q18">
        <f t="shared" si="2"/>
        <v>27</v>
      </c>
    </row>
    <row r="19" spans="1:17">
      <c r="A19" s="2" t="s">
        <v>139</v>
      </c>
      <c r="B19" s="3">
        <v>46100</v>
      </c>
      <c r="C19" s="2" t="s">
        <v>91</v>
      </c>
      <c r="D19" s="2" t="s">
        <v>86</v>
      </c>
      <c r="E19" s="2" t="s">
        <v>140</v>
      </c>
      <c r="F19" s="2" t="s">
        <v>76</v>
      </c>
      <c r="G19" s="2" t="s">
        <v>77</v>
      </c>
      <c r="H19" s="2" t="s">
        <v>93</v>
      </c>
      <c r="I19" s="3">
        <v>46188</v>
      </c>
      <c r="J19" s="2" t="s">
        <v>141</v>
      </c>
      <c r="K19" s="2"/>
      <c r="L19" t="str">
        <f>IF(COUNTIF(iCIMS_Export!M:M,A19)&gt;0,"Yes","No")</f>
        <v>No</v>
      </c>
      <c r="M19" t="str">
        <f>_xlfn.XLOOKUP(A19,iCIMS_Export!$M$2:$M$57,iCIMS_Export!$A$2:$A$57,"")</f>
        <v/>
      </c>
      <c r="N19" t="str">
        <f>IF(J19="Approved",Dashboard!$B$2-K19,"")</f>
        <v/>
      </c>
      <c r="O19" t="str">
        <f t="shared" si="0"/>
        <v/>
      </c>
      <c r="P19">
        <f t="shared" si="1"/>
        <v>1</v>
      </c>
      <c r="Q19" t="str">
        <f t="shared" si="2"/>
        <v/>
      </c>
    </row>
    <row r="20" spans="1:17">
      <c r="A20" s="2" t="s">
        <v>142</v>
      </c>
      <c r="B20" s="3">
        <v>46107</v>
      </c>
      <c r="C20" s="2" t="s">
        <v>107</v>
      </c>
      <c r="D20" s="2" t="s">
        <v>86</v>
      </c>
      <c r="E20" s="2" t="s">
        <v>87</v>
      </c>
      <c r="F20" s="2" t="s">
        <v>88</v>
      </c>
      <c r="G20" s="2" t="s">
        <v>77</v>
      </c>
      <c r="H20" s="2" t="s">
        <v>83</v>
      </c>
      <c r="I20" s="3">
        <v>46197</v>
      </c>
      <c r="J20" s="2" t="s">
        <v>141</v>
      </c>
      <c r="K20" s="2"/>
      <c r="L20" t="str">
        <f>IF(COUNTIF(iCIMS_Export!M:M,A20)&gt;0,"Yes","No")</f>
        <v>No</v>
      </c>
      <c r="M20" t="str">
        <f>_xlfn.XLOOKUP(A20,iCIMS_Export!$M$2:$M$57,iCIMS_Export!$A$2:$A$57,"")</f>
        <v/>
      </c>
      <c r="N20" t="str">
        <f>IF(J20="Approved",Dashboard!$B$2-K20,"")</f>
        <v/>
      </c>
      <c r="O20" t="str">
        <f t="shared" si="0"/>
        <v/>
      </c>
      <c r="P20">
        <f t="shared" si="1"/>
        <v>1</v>
      </c>
      <c r="Q20" t="str">
        <f t="shared" si="2"/>
        <v/>
      </c>
    </row>
    <row r="21" spans="1:17">
      <c r="A21" s="2" t="s">
        <v>143</v>
      </c>
      <c r="B21" s="3">
        <v>46108</v>
      </c>
      <c r="C21" s="2" t="s">
        <v>110</v>
      </c>
      <c r="D21" s="2" t="s">
        <v>96</v>
      </c>
      <c r="E21" s="2" t="s">
        <v>111</v>
      </c>
      <c r="F21" s="2" t="s">
        <v>76</v>
      </c>
      <c r="G21" s="2" t="s">
        <v>77</v>
      </c>
      <c r="H21" s="2" t="s">
        <v>78</v>
      </c>
      <c r="I21" s="3">
        <v>46176</v>
      </c>
      <c r="J21" s="2" t="s">
        <v>34</v>
      </c>
      <c r="K21" s="3">
        <v>46118</v>
      </c>
      <c r="L21" t="str">
        <f>IF(COUNTIF(iCIMS_Export!M:M,A21)&gt;0,"Yes","No")</f>
        <v>Yes</v>
      </c>
      <c r="M21">
        <f>_xlfn.XLOOKUP(A21,iCIMS_Export!$M$2:$M$57,iCIMS_Export!$A$2:$A$57,"")</f>
        <v>4117</v>
      </c>
      <c r="N21">
        <f>IF(J21="Approved",Dashboard!$B$2-K21,"")</f>
        <v>177</v>
      </c>
      <c r="O21" t="str">
        <f t="shared" si="0"/>
        <v/>
      </c>
      <c r="P21">
        <f t="shared" si="1"/>
        <v>1</v>
      </c>
      <c r="Q21">
        <f t="shared" si="2"/>
        <v>10</v>
      </c>
    </row>
    <row r="22" spans="1:17">
      <c r="A22" s="2" t="s">
        <v>144</v>
      </c>
      <c r="B22" s="3">
        <v>46112</v>
      </c>
      <c r="C22" s="2" t="s">
        <v>145</v>
      </c>
      <c r="D22" s="2" t="s">
        <v>133</v>
      </c>
      <c r="E22" s="2" t="s">
        <v>146</v>
      </c>
      <c r="F22" s="2" t="s">
        <v>76</v>
      </c>
      <c r="G22" s="2" t="s">
        <v>77</v>
      </c>
      <c r="H22" s="2" t="s">
        <v>93</v>
      </c>
      <c r="I22" s="3">
        <v>46199</v>
      </c>
      <c r="J22" s="2" t="s">
        <v>34</v>
      </c>
      <c r="K22" s="3">
        <v>46133</v>
      </c>
      <c r="L22" t="str">
        <f>IF(COUNTIF(iCIMS_Export!M:M,A22)&gt;0,"Yes","No")</f>
        <v>Yes</v>
      </c>
      <c r="M22">
        <f>_xlfn.XLOOKUP(A22,iCIMS_Export!$M$2:$M$57,iCIMS_Export!$A$2:$A$57,"")</f>
        <v>4120</v>
      </c>
      <c r="N22">
        <f>IF(J22="Approved",Dashboard!$B$2-K22,"")</f>
        <v>162</v>
      </c>
      <c r="O22" t="str">
        <f t="shared" si="0"/>
        <v/>
      </c>
      <c r="P22">
        <f t="shared" si="1"/>
        <v>1</v>
      </c>
      <c r="Q22">
        <f t="shared" si="2"/>
        <v>21</v>
      </c>
    </row>
    <row r="23" spans="1:17">
      <c r="A23" s="2" t="s">
        <v>147</v>
      </c>
      <c r="B23" s="3">
        <v>46114</v>
      </c>
      <c r="C23" s="2" t="s">
        <v>113</v>
      </c>
      <c r="D23" s="2" t="s">
        <v>114</v>
      </c>
      <c r="E23" s="2" t="s">
        <v>148</v>
      </c>
      <c r="F23" s="2" t="s">
        <v>76</v>
      </c>
      <c r="G23" s="2" t="s">
        <v>77</v>
      </c>
      <c r="H23" s="2" t="s">
        <v>93</v>
      </c>
      <c r="I23" s="3">
        <v>46196</v>
      </c>
      <c r="J23" s="2" t="s">
        <v>34</v>
      </c>
      <c r="K23" s="3">
        <v>46126</v>
      </c>
      <c r="L23" t="str">
        <f>IF(COUNTIF(iCIMS_Export!M:M,A23)&gt;0,"Yes","No")</f>
        <v>Yes</v>
      </c>
      <c r="M23">
        <f>_xlfn.XLOOKUP(A23,iCIMS_Export!$M$2:$M$57,iCIMS_Export!$A$2:$A$57,"")</f>
        <v>4119</v>
      </c>
      <c r="N23">
        <f>IF(J23="Approved",Dashboard!$B$2-K23,"")</f>
        <v>169</v>
      </c>
      <c r="O23" t="str">
        <f t="shared" si="0"/>
        <v/>
      </c>
      <c r="P23">
        <f t="shared" si="1"/>
        <v>1</v>
      </c>
      <c r="Q23">
        <f t="shared" si="2"/>
        <v>12</v>
      </c>
    </row>
    <row r="24" spans="1:17">
      <c r="A24" s="2" t="s">
        <v>149</v>
      </c>
      <c r="B24" s="3">
        <v>46115</v>
      </c>
      <c r="C24" s="2" t="s">
        <v>150</v>
      </c>
      <c r="D24" s="2" t="s">
        <v>124</v>
      </c>
      <c r="E24" s="2" t="s">
        <v>151</v>
      </c>
      <c r="F24" s="2" t="s">
        <v>76</v>
      </c>
      <c r="G24" s="2" t="s">
        <v>77</v>
      </c>
      <c r="H24" s="2" t="s">
        <v>78</v>
      </c>
      <c r="I24" s="3">
        <v>46195</v>
      </c>
      <c r="J24" s="2" t="s">
        <v>34</v>
      </c>
      <c r="K24" s="3">
        <v>46136</v>
      </c>
      <c r="L24" t="str">
        <f>IF(COUNTIF(iCIMS_Export!M:M,A24)&gt;0,"Yes","No")</f>
        <v>Yes</v>
      </c>
      <c r="M24">
        <f>_xlfn.XLOOKUP(A24,iCIMS_Export!$M$2:$M$57,iCIMS_Export!$A$2:$A$57,"")</f>
        <v>4122</v>
      </c>
      <c r="N24">
        <f>IF(J24="Approved",Dashboard!$B$2-K24,"")</f>
        <v>159</v>
      </c>
      <c r="O24" t="str">
        <f t="shared" si="0"/>
        <v/>
      </c>
      <c r="P24">
        <f t="shared" si="1"/>
        <v>1</v>
      </c>
      <c r="Q24">
        <f t="shared" si="2"/>
        <v>21</v>
      </c>
    </row>
    <row r="25" spans="1:17">
      <c r="A25" s="2" t="s">
        <v>152</v>
      </c>
      <c r="B25" s="3">
        <v>46115</v>
      </c>
      <c r="C25" s="2" t="s">
        <v>113</v>
      </c>
      <c r="D25" s="2" t="s">
        <v>114</v>
      </c>
      <c r="E25" s="2" t="s">
        <v>115</v>
      </c>
      <c r="F25" s="2" t="s">
        <v>76</v>
      </c>
      <c r="G25" s="2" t="s">
        <v>77</v>
      </c>
      <c r="H25" s="2" t="s">
        <v>93</v>
      </c>
      <c r="I25" s="3">
        <v>46174</v>
      </c>
      <c r="J25" s="2" t="s">
        <v>121</v>
      </c>
      <c r="K25" s="2"/>
      <c r="L25" t="str">
        <f>IF(COUNTIF(iCIMS_Export!M:M,A25)&gt;0,"Yes","No")</f>
        <v>No</v>
      </c>
      <c r="M25" t="str">
        <f>_xlfn.XLOOKUP(A25,iCIMS_Export!$M$2:$M$57,iCIMS_Export!$A$2:$A$57,"")</f>
        <v/>
      </c>
      <c r="N25" t="str">
        <f>IF(J25="Approved",Dashboard!$B$2-K25,"")</f>
        <v/>
      </c>
      <c r="O25" t="str">
        <f t="shared" si="0"/>
        <v/>
      </c>
      <c r="P25">
        <f t="shared" si="1"/>
        <v>1</v>
      </c>
      <c r="Q25" t="str">
        <f t="shared" si="2"/>
        <v/>
      </c>
    </row>
    <row r="26" spans="1:17">
      <c r="A26" s="2" t="s">
        <v>153</v>
      </c>
      <c r="B26" s="3">
        <v>46119</v>
      </c>
      <c r="C26" s="2" t="s">
        <v>80</v>
      </c>
      <c r="D26" s="2" t="s">
        <v>81</v>
      </c>
      <c r="E26" s="2" t="s">
        <v>154</v>
      </c>
      <c r="F26" s="2" t="s">
        <v>88</v>
      </c>
      <c r="G26" s="2" t="s">
        <v>77</v>
      </c>
      <c r="H26" s="2" t="s">
        <v>130</v>
      </c>
      <c r="I26" s="3">
        <v>46184</v>
      </c>
      <c r="J26" s="2" t="s">
        <v>34</v>
      </c>
      <c r="K26" s="3">
        <v>46147</v>
      </c>
      <c r="L26" t="str">
        <f>IF(COUNTIF(iCIMS_Export!M:M,A26)&gt;0,"Yes","No")</f>
        <v>Yes</v>
      </c>
      <c r="M26">
        <f>_xlfn.XLOOKUP(A26,iCIMS_Export!$M$2:$M$57,iCIMS_Export!$A$2:$A$57,"")</f>
        <v>4127</v>
      </c>
      <c r="N26">
        <f>IF(J26="Approved",Dashboard!$B$2-K26,"")</f>
        <v>148</v>
      </c>
      <c r="O26" t="str">
        <f t="shared" si="0"/>
        <v/>
      </c>
      <c r="P26">
        <f t="shared" si="1"/>
        <v>1</v>
      </c>
      <c r="Q26">
        <f t="shared" si="2"/>
        <v>28</v>
      </c>
    </row>
    <row r="27" spans="1:17">
      <c r="A27" s="2" t="s">
        <v>155</v>
      </c>
      <c r="B27" s="3">
        <v>46127</v>
      </c>
      <c r="C27" s="2" t="s">
        <v>156</v>
      </c>
      <c r="D27" s="2" t="s">
        <v>81</v>
      </c>
      <c r="E27" s="2" t="s">
        <v>157</v>
      </c>
      <c r="F27" s="2" t="s">
        <v>76</v>
      </c>
      <c r="G27" s="2" t="s">
        <v>77</v>
      </c>
      <c r="H27" s="2" t="s">
        <v>83</v>
      </c>
      <c r="I27" s="3">
        <v>46216</v>
      </c>
      <c r="J27" s="2" t="s">
        <v>34</v>
      </c>
      <c r="K27" s="3">
        <v>46142</v>
      </c>
      <c r="L27" t="str">
        <f>IF(COUNTIF(iCIMS_Export!M:M,A27)&gt;0,"Yes","No")</f>
        <v>Yes</v>
      </c>
      <c r="M27">
        <f>_xlfn.XLOOKUP(A27,iCIMS_Export!$M$2:$M$57,iCIMS_Export!$A$2:$A$57,"")</f>
        <v>4123</v>
      </c>
      <c r="N27">
        <f>IF(J27="Approved",Dashboard!$B$2-K27,"")</f>
        <v>153</v>
      </c>
      <c r="O27" t="str">
        <f t="shared" si="0"/>
        <v/>
      </c>
      <c r="P27">
        <f t="shared" si="1"/>
        <v>1</v>
      </c>
      <c r="Q27">
        <f t="shared" si="2"/>
        <v>15</v>
      </c>
    </row>
    <row r="28" spans="1:17">
      <c r="A28" s="2" t="s">
        <v>158</v>
      </c>
      <c r="B28" s="3">
        <v>46128</v>
      </c>
      <c r="C28" s="2" t="s">
        <v>150</v>
      </c>
      <c r="D28" s="2" t="s">
        <v>124</v>
      </c>
      <c r="E28" s="2" t="s">
        <v>125</v>
      </c>
      <c r="F28" s="2" t="s">
        <v>76</v>
      </c>
      <c r="G28" s="2" t="s">
        <v>77</v>
      </c>
      <c r="H28" s="2" t="s">
        <v>93</v>
      </c>
      <c r="I28" s="3">
        <v>46197</v>
      </c>
      <c r="J28" s="2" t="s">
        <v>34</v>
      </c>
      <c r="K28" s="3">
        <v>46141</v>
      </c>
      <c r="L28" t="str">
        <f>IF(COUNTIF(iCIMS_Export!M:M,A28)&gt;0,"Yes","No")</f>
        <v>Yes</v>
      </c>
      <c r="M28">
        <f>_xlfn.XLOOKUP(A28,iCIMS_Export!$M$2:$M$57,iCIMS_Export!$A$2:$A$57,"")</f>
        <v>4124</v>
      </c>
      <c r="N28">
        <f>IF(J28="Approved",Dashboard!$B$2-K28,"")</f>
        <v>154</v>
      </c>
      <c r="O28" t="str">
        <f t="shared" si="0"/>
        <v/>
      </c>
      <c r="P28">
        <f t="shared" si="1"/>
        <v>1</v>
      </c>
      <c r="Q28">
        <f t="shared" si="2"/>
        <v>13</v>
      </c>
    </row>
    <row r="29" spans="1:17">
      <c r="A29" s="2" t="s">
        <v>159</v>
      </c>
      <c r="B29" s="3">
        <v>46132</v>
      </c>
      <c r="C29" s="2" t="s">
        <v>119</v>
      </c>
      <c r="D29" s="2" t="s">
        <v>74</v>
      </c>
      <c r="E29" s="2" t="s">
        <v>120</v>
      </c>
      <c r="F29" s="2" t="s">
        <v>76</v>
      </c>
      <c r="G29" s="2" t="s">
        <v>77</v>
      </c>
      <c r="H29" s="2" t="s">
        <v>93</v>
      </c>
      <c r="I29" s="3">
        <v>46185</v>
      </c>
      <c r="J29" s="2" t="s">
        <v>34</v>
      </c>
      <c r="K29" s="3">
        <v>46148</v>
      </c>
      <c r="L29" t="str">
        <f>IF(COUNTIF(iCIMS_Export!M:M,A29)&gt;0,"Yes","No")</f>
        <v>Yes</v>
      </c>
      <c r="M29">
        <f>_xlfn.XLOOKUP(A29,iCIMS_Export!$M$2:$M$57,iCIMS_Export!$A$2:$A$57,"")</f>
        <v>4126</v>
      </c>
      <c r="N29">
        <f>IF(J29="Approved",Dashboard!$B$2-K29,"")</f>
        <v>147</v>
      </c>
      <c r="O29" t="str">
        <f t="shared" si="0"/>
        <v/>
      </c>
      <c r="P29">
        <f t="shared" si="1"/>
        <v>1</v>
      </c>
      <c r="Q29">
        <f t="shared" si="2"/>
        <v>16</v>
      </c>
    </row>
    <row r="30" spans="1:17">
      <c r="A30" s="2" t="s">
        <v>160</v>
      </c>
      <c r="B30" s="3">
        <v>46133</v>
      </c>
      <c r="C30" s="2" t="s">
        <v>161</v>
      </c>
      <c r="D30" s="2" t="s">
        <v>114</v>
      </c>
      <c r="E30" s="2" t="s">
        <v>162</v>
      </c>
      <c r="F30" s="2" t="s">
        <v>76</v>
      </c>
      <c r="G30" s="2" t="s">
        <v>77</v>
      </c>
      <c r="H30" s="2" t="s">
        <v>93</v>
      </c>
      <c r="I30" s="3">
        <v>46196</v>
      </c>
      <c r="J30" s="2" t="s">
        <v>34</v>
      </c>
      <c r="K30" s="3">
        <v>46142</v>
      </c>
      <c r="L30" t="str">
        <f>IF(COUNTIF(iCIMS_Export!M:M,A30)&gt;0,"Yes","No")</f>
        <v>Yes</v>
      </c>
      <c r="M30">
        <f>_xlfn.XLOOKUP(A30,iCIMS_Export!$M$2:$M$57,iCIMS_Export!$A$2:$A$57,"")</f>
        <v>4121</v>
      </c>
      <c r="N30">
        <f>IF(J30="Approved",Dashboard!$B$2-K30,"")</f>
        <v>153</v>
      </c>
      <c r="O30" t="str">
        <f t="shared" si="0"/>
        <v/>
      </c>
      <c r="P30">
        <f t="shared" si="1"/>
        <v>1</v>
      </c>
      <c r="Q30">
        <f t="shared" si="2"/>
        <v>9</v>
      </c>
    </row>
    <row r="31" spans="1:17">
      <c r="A31" s="2" t="s">
        <v>163</v>
      </c>
      <c r="B31" s="3">
        <v>46136</v>
      </c>
      <c r="C31" s="2" t="s">
        <v>132</v>
      </c>
      <c r="D31" s="2" t="s">
        <v>133</v>
      </c>
      <c r="E31" s="2" t="s">
        <v>146</v>
      </c>
      <c r="F31" s="2" t="s">
        <v>76</v>
      </c>
      <c r="G31" s="2" t="s">
        <v>77</v>
      </c>
      <c r="H31" s="2" t="s">
        <v>93</v>
      </c>
      <c r="I31" s="3">
        <v>46225</v>
      </c>
      <c r="J31" s="2" t="s">
        <v>34</v>
      </c>
      <c r="K31" s="3">
        <v>46146</v>
      </c>
      <c r="L31" t="str">
        <f>IF(COUNTIF(iCIMS_Export!M:M,A31)&gt;0,"Yes","No")</f>
        <v>Yes</v>
      </c>
      <c r="M31">
        <f>_xlfn.XLOOKUP(A31,iCIMS_Export!$M$2:$M$57,iCIMS_Export!$A$2:$A$57,"")</f>
        <v>4125</v>
      </c>
      <c r="N31">
        <f>IF(J31="Approved",Dashboard!$B$2-K31,"")</f>
        <v>149</v>
      </c>
      <c r="O31" t="str">
        <f t="shared" si="0"/>
        <v/>
      </c>
      <c r="P31">
        <f t="shared" si="1"/>
        <v>1</v>
      </c>
      <c r="Q31">
        <f t="shared" si="2"/>
        <v>10</v>
      </c>
    </row>
    <row r="32" spans="1:17">
      <c r="A32" s="2" t="s">
        <v>164</v>
      </c>
      <c r="B32" s="3">
        <v>46142</v>
      </c>
      <c r="C32" s="2" t="s">
        <v>156</v>
      </c>
      <c r="D32" s="2" t="s">
        <v>81</v>
      </c>
      <c r="E32" s="2" t="s">
        <v>165</v>
      </c>
      <c r="F32" s="2" t="s">
        <v>76</v>
      </c>
      <c r="G32" s="2" t="s">
        <v>77</v>
      </c>
      <c r="H32" s="2" t="s">
        <v>93</v>
      </c>
      <c r="I32" s="3">
        <v>46219</v>
      </c>
      <c r="J32" s="2" t="s">
        <v>141</v>
      </c>
      <c r="K32" s="2"/>
      <c r="L32" t="str">
        <f>IF(COUNTIF(iCIMS_Export!M:M,A32)&gt;0,"Yes","No")</f>
        <v>No</v>
      </c>
      <c r="M32" t="str">
        <f>_xlfn.XLOOKUP(A32,iCIMS_Export!$M$2:$M$57,iCIMS_Export!$A$2:$A$57,"")</f>
        <v/>
      </c>
      <c r="N32" t="str">
        <f>IF(J32="Approved",Dashboard!$B$2-K32,"")</f>
        <v/>
      </c>
      <c r="O32" t="str">
        <f t="shared" si="0"/>
        <v/>
      </c>
      <c r="P32">
        <f t="shared" si="1"/>
        <v>1</v>
      </c>
      <c r="Q32" t="str">
        <f t="shared" si="2"/>
        <v/>
      </c>
    </row>
    <row r="33" spans="1:17">
      <c r="A33" s="2" t="s">
        <v>166</v>
      </c>
      <c r="B33" s="3">
        <v>46150</v>
      </c>
      <c r="C33" s="2" t="s">
        <v>167</v>
      </c>
      <c r="D33" s="2" t="s">
        <v>81</v>
      </c>
      <c r="E33" s="2" t="s">
        <v>154</v>
      </c>
      <c r="F33" s="2" t="s">
        <v>76</v>
      </c>
      <c r="G33" s="2" t="s">
        <v>77</v>
      </c>
      <c r="H33" s="2"/>
      <c r="I33" s="3">
        <v>46204</v>
      </c>
      <c r="J33" s="2" t="s">
        <v>34</v>
      </c>
      <c r="K33" s="3">
        <v>46160</v>
      </c>
      <c r="L33" t="str">
        <f>IF(COUNTIF(iCIMS_Export!M:M,A33)&gt;0,"Yes","No")</f>
        <v>Yes</v>
      </c>
      <c r="M33">
        <f>_xlfn.XLOOKUP(A33,iCIMS_Export!$M$2:$M$57,iCIMS_Export!$A$2:$A$57,"")</f>
        <v>4128</v>
      </c>
      <c r="N33">
        <f>IF(J33="Approved",Dashboard!$B$2-K33,"")</f>
        <v>135</v>
      </c>
      <c r="O33" t="str">
        <f t="shared" si="0"/>
        <v/>
      </c>
      <c r="P33">
        <f t="shared" si="1"/>
        <v>1</v>
      </c>
      <c r="Q33">
        <f t="shared" si="2"/>
        <v>10</v>
      </c>
    </row>
    <row r="34" spans="1:17">
      <c r="A34" s="2" t="s">
        <v>168</v>
      </c>
      <c r="B34" s="3">
        <v>46156</v>
      </c>
      <c r="C34" s="2" t="s">
        <v>80</v>
      </c>
      <c r="D34" s="2" t="s">
        <v>81</v>
      </c>
      <c r="E34" s="2" t="s">
        <v>154</v>
      </c>
      <c r="F34" s="2" t="s">
        <v>76</v>
      </c>
      <c r="G34" s="2" t="s">
        <v>77</v>
      </c>
      <c r="H34" s="2" t="s">
        <v>93</v>
      </c>
      <c r="I34" s="3">
        <v>46241</v>
      </c>
      <c r="J34" s="2" t="s">
        <v>34</v>
      </c>
      <c r="K34" s="3">
        <v>46170</v>
      </c>
      <c r="L34" t="str">
        <f>IF(COUNTIF(iCIMS_Export!M:M,A34)&gt;0,"Yes","No")</f>
        <v>Yes</v>
      </c>
      <c r="M34">
        <f>_xlfn.XLOOKUP(A34,iCIMS_Export!$M$2:$M$57,iCIMS_Export!$A$2:$A$57,"")</f>
        <v>4129</v>
      </c>
      <c r="N34">
        <f>IF(J34="Approved",Dashboard!$B$2-K34,"")</f>
        <v>125</v>
      </c>
      <c r="O34" t="str">
        <f t="shared" si="0"/>
        <v/>
      </c>
      <c r="P34">
        <f t="shared" si="1"/>
        <v>1</v>
      </c>
      <c r="Q34">
        <f t="shared" si="2"/>
        <v>14</v>
      </c>
    </row>
    <row r="35" spans="1:17">
      <c r="A35" s="2" t="s">
        <v>169</v>
      </c>
      <c r="B35" s="3">
        <v>46161</v>
      </c>
      <c r="C35" s="2" t="s">
        <v>127</v>
      </c>
      <c r="D35" s="2" t="s">
        <v>128</v>
      </c>
      <c r="E35" s="2" t="s">
        <v>170</v>
      </c>
      <c r="F35" s="2" t="s">
        <v>76</v>
      </c>
      <c r="G35" s="2" t="s">
        <v>77</v>
      </c>
      <c r="H35" s="2" t="s">
        <v>93</v>
      </c>
      <c r="I35" s="3">
        <v>46227</v>
      </c>
      <c r="J35" s="2" t="s">
        <v>34</v>
      </c>
      <c r="K35" s="3">
        <v>46169</v>
      </c>
      <c r="L35" t="str">
        <f>IF(COUNTIF(iCIMS_Export!M:M,A35)&gt;0,"Yes","No")</f>
        <v>Yes</v>
      </c>
      <c r="M35">
        <f>_xlfn.XLOOKUP(A35,iCIMS_Export!$M$2:$M$57,iCIMS_Export!$A$2:$A$57,"")</f>
        <v>4132</v>
      </c>
      <c r="N35">
        <f>IF(J35="Approved",Dashboard!$B$2-K35,"")</f>
        <v>126</v>
      </c>
      <c r="O35" t="str">
        <f t="shared" si="0"/>
        <v/>
      </c>
      <c r="P35">
        <f t="shared" si="1"/>
        <v>1</v>
      </c>
      <c r="Q35">
        <f t="shared" si="2"/>
        <v>8</v>
      </c>
    </row>
    <row r="36" spans="1:17">
      <c r="A36" s="2" t="s">
        <v>171</v>
      </c>
      <c r="B36" s="3">
        <v>46164</v>
      </c>
      <c r="C36" s="2" t="s">
        <v>73</v>
      </c>
      <c r="D36" s="2" t="s">
        <v>74</v>
      </c>
      <c r="E36" s="2" t="s">
        <v>75</v>
      </c>
      <c r="F36" s="2" t="s">
        <v>88</v>
      </c>
      <c r="G36" s="2" t="s">
        <v>77</v>
      </c>
      <c r="H36" s="2" t="s">
        <v>93</v>
      </c>
      <c r="I36" s="3">
        <v>46251</v>
      </c>
      <c r="J36" s="2" t="s">
        <v>121</v>
      </c>
      <c r="K36" s="2"/>
      <c r="L36" t="str">
        <f>IF(COUNTIF(iCIMS_Export!M:M,A36)&gt;0,"Yes","No")</f>
        <v>No</v>
      </c>
      <c r="M36" t="str">
        <f>_xlfn.XLOOKUP(A36,iCIMS_Export!$M$2:$M$57,iCIMS_Export!$A$2:$A$57,"")</f>
        <v/>
      </c>
      <c r="N36" t="str">
        <f>IF(J36="Approved",Dashboard!$B$2-K36,"")</f>
        <v/>
      </c>
      <c r="O36" t="str">
        <f>IF(AND(J36="Approved",L36="No"),IF(N36&gt;7,"Stale gap","Recent"),"")</f>
        <v/>
      </c>
      <c r="P36">
        <f t="shared" si="1"/>
        <v>1</v>
      </c>
      <c r="Q36" t="str">
        <f t="shared" si="2"/>
        <v/>
      </c>
    </row>
    <row r="37" spans="1:17">
      <c r="A37" s="2" t="s">
        <v>172</v>
      </c>
      <c r="B37" s="3">
        <v>46164</v>
      </c>
      <c r="C37" s="2" t="s">
        <v>85</v>
      </c>
      <c r="D37" s="2" t="s">
        <v>86</v>
      </c>
      <c r="E37" s="2" t="s">
        <v>140</v>
      </c>
      <c r="F37" s="2" t="s">
        <v>88</v>
      </c>
      <c r="G37" s="2" t="s">
        <v>77</v>
      </c>
      <c r="H37" s="2" t="s">
        <v>93</v>
      </c>
      <c r="I37" s="3">
        <v>46232</v>
      </c>
      <c r="J37" s="2" t="s">
        <v>34</v>
      </c>
      <c r="K37" s="3">
        <v>46178</v>
      </c>
      <c r="L37" t="str">
        <f>IF(COUNTIF(iCIMS_Export!M:M,A37)&gt;0,"Yes","No")</f>
        <v>Yes</v>
      </c>
      <c r="M37">
        <f>_xlfn.XLOOKUP(A37,iCIMS_Export!$M$2:$M$57,iCIMS_Export!$A$2:$A$57,"")</f>
        <v>4130</v>
      </c>
      <c r="N37">
        <f>IF(J37="Approved",Dashboard!$B$2-K37,"")</f>
        <v>117</v>
      </c>
      <c r="O37" t="str">
        <f t="shared" si="0"/>
        <v/>
      </c>
      <c r="P37">
        <f t="shared" si="1"/>
        <v>1</v>
      </c>
      <c r="Q37">
        <f t="shared" si="2"/>
        <v>14</v>
      </c>
    </row>
    <row r="38" spans="1:17">
      <c r="A38" s="2" t="s">
        <v>173</v>
      </c>
      <c r="B38" s="3">
        <v>46170</v>
      </c>
      <c r="C38" s="2" t="s">
        <v>80</v>
      </c>
      <c r="D38" s="2" t="s">
        <v>81</v>
      </c>
      <c r="E38" s="2" t="s">
        <v>165</v>
      </c>
      <c r="F38" s="2" t="s">
        <v>88</v>
      </c>
      <c r="G38" s="2" t="s">
        <v>77</v>
      </c>
      <c r="H38" s="2" t="s">
        <v>93</v>
      </c>
      <c r="I38" s="3">
        <v>46239</v>
      </c>
      <c r="J38" s="2" t="s">
        <v>34</v>
      </c>
      <c r="K38" s="3">
        <v>46181</v>
      </c>
      <c r="L38" t="str">
        <f>IF(COUNTIF(iCIMS_Export!M:M,A38)&gt;0,"Yes","No")</f>
        <v>Yes</v>
      </c>
      <c r="M38">
        <f>_xlfn.XLOOKUP(A38,iCIMS_Export!$M$2:$M$57,iCIMS_Export!$A$2:$A$57,"")</f>
        <v>4131</v>
      </c>
      <c r="N38">
        <f>IF(J38="Approved",Dashboard!$B$2-K38,"")</f>
        <v>114</v>
      </c>
      <c r="O38" t="str">
        <f t="shared" si="0"/>
        <v/>
      </c>
      <c r="P38">
        <f t="shared" si="1"/>
        <v>1</v>
      </c>
      <c r="Q38">
        <f t="shared" si="2"/>
        <v>11</v>
      </c>
    </row>
    <row r="39" spans="1:17">
      <c r="A39" s="2" t="s">
        <v>174</v>
      </c>
      <c r="B39" s="3">
        <v>46176</v>
      </c>
      <c r="C39" s="2" t="s">
        <v>161</v>
      </c>
      <c r="D39" s="2" t="s">
        <v>114</v>
      </c>
      <c r="E39" s="2" t="s">
        <v>175</v>
      </c>
      <c r="F39" s="2" t="s">
        <v>76</v>
      </c>
      <c r="G39" s="2" t="s">
        <v>77</v>
      </c>
      <c r="H39" s="2"/>
      <c r="I39" s="3">
        <v>46246</v>
      </c>
      <c r="J39" s="2" t="s">
        <v>34</v>
      </c>
      <c r="K39" s="3">
        <v>46188</v>
      </c>
      <c r="L39" t="str">
        <f>IF(COUNTIF(iCIMS_Export!M:M,A39)&gt;0,"Yes","No")</f>
        <v>Yes</v>
      </c>
      <c r="M39">
        <f>_xlfn.XLOOKUP(A39,iCIMS_Export!$M$2:$M$57,iCIMS_Export!$A$2:$A$57,"")</f>
        <v>4134</v>
      </c>
      <c r="N39">
        <f>IF(J39="Approved",Dashboard!$B$2-K39,"")</f>
        <v>107</v>
      </c>
      <c r="O39" t="str">
        <f t="shared" si="0"/>
        <v/>
      </c>
      <c r="P39">
        <f t="shared" si="1"/>
        <v>1</v>
      </c>
      <c r="Q39">
        <f t="shared" si="2"/>
        <v>12</v>
      </c>
    </row>
    <row r="40" spans="1:17">
      <c r="A40" s="2" t="s">
        <v>176</v>
      </c>
      <c r="B40" s="3">
        <v>46181</v>
      </c>
      <c r="C40" s="2" t="s">
        <v>107</v>
      </c>
      <c r="D40" s="2" t="s">
        <v>86</v>
      </c>
      <c r="E40" s="2" t="s">
        <v>177</v>
      </c>
      <c r="F40" s="2" t="s">
        <v>76</v>
      </c>
      <c r="G40" s="2" t="s">
        <v>77</v>
      </c>
      <c r="H40" s="2" t="s">
        <v>93</v>
      </c>
      <c r="I40" s="3">
        <v>46234</v>
      </c>
      <c r="J40" s="2" t="s">
        <v>34</v>
      </c>
      <c r="K40" s="3">
        <v>46195</v>
      </c>
      <c r="L40" t="str">
        <f>IF(COUNTIF(iCIMS_Export!M:M,A40)&gt;0,"Yes","No")</f>
        <v>No</v>
      </c>
      <c r="M40" t="str">
        <f>_xlfn.XLOOKUP(A40,iCIMS_Export!$M$2:$M$57,iCIMS_Export!$A$2:$A$57,"")</f>
        <v/>
      </c>
      <c r="N40">
        <f>IF(J40="Approved",Dashboard!$B$2-K40,"")</f>
        <v>100</v>
      </c>
      <c r="O40" t="str">
        <f t="shared" si="0"/>
        <v>Stale gap</v>
      </c>
      <c r="P40">
        <f t="shared" si="1"/>
        <v>1</v>
      </c>
      <c r="Q40">
        <f t="shared" si="2"/>
        <v>14</v>
      </c>
    </row>
    <row r="41" spans="1:17">
      <c r="A41" s="2" t="s">
        <v>178</v>
      </c>
      <c r="B41" s="3">
        <v>46181</v>
      </c>
      <c r="C41" s="2" t="s">
        <v>85</v>
      </c>
      <c r="D41" s="2" t="s">
        <v>86</v>
      </c>
      <c r="E41" s="2" t="s">
        <v>177</v>
      </c>
      <c r="F41" s="2" t="s">
        <v>88</v>
      </c>
      <c r="G41" s="2" t="s">
        <v>77</v>
      </c>
      <c r="H41" s="2" t="s">
        <v>130</v>
      </c>
      <c r="I41" s="3">
        <v>46234</v>
      </c>
      <c r="J41" s="2" t="s">
        <v>34</v>
      </c>
      <c r="K41" s="3">
        <v>46195</v>
      </c>
      <c r="L41" t="str">
        <f>IF(COUNTIF(iCIMS_Export!M:M,A41)&gt;0,"Yes","No")</f>
        <v>Yes</v>
      </c>
      <c r="M41">
        <f>_xlfn.XLOOKUP(A41,iCIMS_Export!$M$2:$M$57,iCIMS_Export!$A$2:$A$57,"")</f>
        <v>4133</v>
      </c>
      <c r="N41">
        <f>IF(J41="Approved",Dashboard!$B$2-K41,"")</f>
        <v>100</v>
      </c>
      <c r="O41" t="str">
        <f t="shared" si="0"/>
        <v/>
      </c>
      <c r="P41">
        <f t="shared" si="1"/>
        <v>2</v>
      </c>
      <c r="Q41">
        <f t="shared" si="2"/>
        <v>14</v>
      </c>
    </row>
    <row r="42" spans="1:17">
      <c r="A42" s="2" t="s">
        <v>179</v>
      </c>
      <c r="B42" s="3">
        <v>46182</v>
      </c>
      <c r="C42" s="2" t="s">
        <v>132</v>
      </c>
      <c r="D42" s="2" t="s">
        <v>133</v>
      </c>
      <c r="E42" s="2" t="s">
        <v>146</v>
      </c>
      <c r="F42" s="2" t="s">
        <v>88</v>
      </c>
      <c r="G42" s="2" t="s">
        <v>77</v>
      </c>
      <c r="H42" s="2" t="s">
        <v>130</v>
      </c>
      <c r="I42" s="3">
        <v>46231</v>
      </c>
      <c r="J42" s="2" t="s">
        <v>121</v>
      </c>
      <c r="K42" s="2"/>
      <c r="L42" t="str">
        <f>IF(COUNTIF(iCIMS_Export!M:M,A42)&gt;0,"Yes","No")</f>
        <v>No</v>
      </c>
      <c r="M42" t="str">
        <f>_xlfn.XLOOKUP(A42,iCIMS_Export!$M$2:$M$57,iCIMS_Export!$A$2:$A$57,"")</f>
        <v/>
      </c>
      <c r="N42" t="str">
        <f>IF(J42="Approved",Dashboard!$B$2-K42,"")</f>
        <v/>
      </c>
      <c r="O42" t="str">
        <f t="shared" si="0"/>
        <v/>
      </c>
      <c r="P42">
        <f t="shared" si="1"/>
        <v>1</v>
      </c>
      <c r="Q42" t="str">
        <f t="shared" si="2"/>
        <v/>
      </c>
    </row>
    <row r="43" spans="1:17">
      <c r="A43" s="2" t="s">
        <v>180</v>
      </c>
      <c r="B43" s="3">
        <v>46183</v>
      </c>
      <c r="C43" s="2" t="s">
        <v>85</v>
      </c>
      <c r="D43" s="2" t="s">
        <v>86</v>
      </c>
      <c r="E43" s="2" t="s">
        <v>177</v>
      </c>
      <c r="F43" s="2" t="s">
        <v>76</v>
      </c>
      <c r="G43" s="2" t="s">
        <v>77</v>
      </c>
      <c r="H43" s="2" t="s">
        <v>78</v>
      </c>
      <c r="I43" s="3">
        <v>46232</v>
      </c>
      <c r="J43" s="2" t="s">
        <v>34</v>
      </c>
      <c r="K43" s="3">
        <v>46195</v>
      </c>
      <c r="L43" t="str">
        <f>IF(COUNTIF(iCIMS_Export!M:M,A43)&gt;0,"Yes","No")</f>
        <v>No</v>
      </c>
      <c r="M43" t="str">
        <f>_xlfn.XLOOKUP(A43,iCIMS_Export!$M$2:$M$57,iCIMS_Export!$A$2:$A$57,"")</f>
        <v/>
      </c>
      <c r="N43">
        <f>IF(J43="Approved",Dashboard!$B$2-K43,"")</f>
        <v>100</v>
      </c>
      <c r="O43" t="str">
        <f t="shared" si="0"/>
        <v>Stale gap</v>
      </c>
      <c r="P43">
        <f t="shared" si="1"/>
        <v>2</v>
      </c>
      <c r="Q43">
        <f t="shared" si="2"/>
        <v>12</v>
      </c>
    </row>
    <row r="44" spans="1:17">
      <c r="A44" s="2" t="s">
        <v>181</v>
      </c>
      <c r="B44" s="3">
        <v>46188</v>
      </c>
      <c r="C44" s="2" t="s">
        <v>182</v>
      </c>
      <c r="D44" s="2" t="s">
        <v>104</v>
      </c>
      <c r="E44" s="2" t="s">
        <v>183</v>
      </c>
      <c r="F44" s="2" t="s">
        <v>76</v>
      </c>
      <c r="G44" s="2" t="s">
        <v>77</v>
      </c>
      <c r="H44" s="2" t="s">
        <v>83</v>
      </c>
      <c r="I44" s="3">
        <v>46244</v>
      </c>
      <c r="J44" s="2" t="s">
        <v>34</v>
      </c>
      <c r="K44" s="3">
        <v>46203</v>
      </c>
      <c r="L44" t="str">
        <f>IF(COUNTIF(iCIMS_Export!M:M,A44)&gt;0,"Yes","No")</f>
        <v>Yes</v>
      </c>
      <c r="M44">
        <f>_xlfn.XLOOKUP(A44,iCIMS_Export!$M$2:$M$57,iCIMS_Export!$A$2:$A$57,"")</f>
        <v>4135</v>
      </c>
      <c r="N44">
        <f>IF(J44="Approved",Dashboard!$B$2-K44,"")</f>
        <v>92</v>
      </c>
      <c r="O44" t="str">
        <f t="shared" si="0"/>
        <v/>
      </c>
      <c r="P44">
        <f t="shared" si="1"/>
        <v>1</v>
      </c>
      <c r="Q44">
        <f t="shared" si="2"/>
        <v>15</v>
      </c>
    </row>
    <row r="45" spans="1:17">
      <c r="A45" s="2" t="s">
        <v>184</v>
      </c>
      <c r="B45" s="3">
        <v>46195</v>
      </c>
      <c r="C45" s="2" t="s">
        <v>145</v>
      </c>
      <c r="D45" s="2" t="s">
        <v>133</v>
      </c>
      <c r="E45" s="2" t="s">
        <v>146</v>
      </c>
      <c r="F45" s="2" t="s">
        <v>76</v>
      </c>
      <c r="G45" s="2" t="s">
        <v>77</v>
      </c>
      <c r="H45" s="2" t="s">
        <v>78</v>
      </c>
      <c r="I45" s="3">
        <v>46245</v>
      </c>
      <c r="J45" s="2" t="s">
        <v>34</v>
      </c>
      <c r="K45" s="3">
        <v>46209</v>
      </c>
      <c r="L45" t="str">
        <f>IF(COUNTIF(iCIMS_Export!M:M,A45)&gt;0,"Yes","No")</f>
        <v>Yes</v>
      </c>
      <c r="M45">
        <f>_xlfn.XLOOKUP(A45,iCIMS_Export!$M$2:$M$57,iCIMS_Export!$A$2:$A$57,"")</f>
        <v>4137</v>
      </c>
      <c r="N45">
        <f>IF(J45="Approved",Dashboard!$B$2-K45,"")</f>
        <v>86</v>
      </c>
      <c r="O45" t="str">
        <f t="shared" si="0"/>
        <v/>
      </c>
      <c r="P45">
        <f t="shared" si="1"/>
        <v>1</v>
      </c>
      <c r="Q45">
        <f t="shared" si="2"/>
        <v>14</v>
      </c>
    </row>
    <row r="46" spans="1:17">
      <c r="A46" s="2" t="s">
        <v>185</v>
      </c>
      <c r="B46" s="3">
        <v>46196</v>
      </c>
      <c r="C46" s="2" t="s">
        <v>99</v>
      </c>
      <c r="D46" s="2" t="s">
        <v>100</v>
      </c>
      <c r="E46" s="2" t="s">
        <v>186</v>
      </c>
      <c r="F46" s="2" t="s">
        <v>88</v>
      </c>
      <c r="G46" s="2" t="s">
        <v>77</v>
      </c>
      <c r="H46" s="2" t="s">
        <v>78</v>
      </c>
      <c r="I46" s="3">
        <v>46251</v>
      </c>
      <c r="J46" s="2" t="s">
        <v>34</v>
      </c>
      <c r="K46" s="3">
        <v>46209</v>
      </c>
      <c r="L46" t="str">
        <f>IF(COUNTIF(iCIMS_Export!M:M,A46)&gt;0,"Yes","No")</f>
        <v>No</v>
      </c>
      <c r="M46" t="str">
        <f>_xlfn.XLOOKUP(A46,iCIMS_Export!$M$2:$M$57,iCIMS_Export!$A$2:$A$57,"")</f>
        <v/>
      </c>
      <c r="N46">
        <f>IF(J46="Approved",Dashboard!$B$2-K46,"")</f>
        <v>86</v>
      </c>
      <c r="O46" t="str">
        <f t="shared" si="0"/>
        <v>Stale gap</v>
      </c>
      <c r="P46">
        <f t="shared" si="1"/>
        <v>1</v>
      </c>
      <c r="Q46">
        <f t="shared" si="2"/>
        <v>13</v>
      </c>
    </row>
    <row r="47" spans="1:17">
      <c r="A47" s="2" t="s">
        <v>187</v>
      </c>
      <c r="B47" s="3">
        <v>46197</v>
      </c>
      <c r="C47" s="2" t="s">
        <v>150</v>
      </c>
      <c r="D47" s="2" t="s">
        <v>124</v>
      </c>
      <c r="E47" s="2" t="s">
        <v>188</v>
      </c>
      <c r="F47" s="2" t="s">
        <v>76</v>
      </c>
      <c r="G47" s="2" t="s">
        <v>77</v>
      </c>
      <c r="H47" s="2" t="s">
        <v>83</v>
      </c>
      <c r="I47" s="3">
        <v>46279</v>
      </c>
      <c r="J47" s="2" t="s">
        <v>34</v>
      </c>
      <c r="K47" s="3">
        <v>46209</v>
      </c>
      <c r="L47" t="str">
        <f>IF(COUNTIF(iCIMS_Export!M:M,A47)&gt;0,"Yes","No")</f>
        <v>Yes</v>
      </c>
      <c r="M47">
        <f>_xlfn.XLOOKUP(A47,iCIMS_Export!$M$2:$M$57,iCIMS_Export!$A$2:$A$57,"")</f>
        <v>4139</v>
      </c>
      <c r="N47">
        <f>IF(J47="Approved",Dashboard!$B$2-K47,"")</f>
        <v>86</v>
      </c>
      <c r="O47" t="str">
        <f t="shared" si="0"/>
        <v/>
      </c>
      <c r="P47">
        <f t="shared" si="1"/>
        <v>1</v>
      </c>
      <c r="Q47">
        <f t="shared" si="2"/>
        <v>12</v>
      </c>
    </row>
    <row r="48" spans="1:17">
      <c r="A48" s="2" t="s">
        <v>189</v>
      </c>
      <c r="B48" s="3">
        <v>46199</v>
      </c>
      <c r="C48" s="2" t="s">
        <v>156</v>
      </c>
      <c r="D48" s="2" t="s">
        <v>81</v>
      </c>
      <c r="E48" s="2" t="s">
        <v>190</v>
      </c>
      <c r="F48" s="2" t="s">
        <v>76</v>
      </c>
      <c r="G48" s="2" t="s">
        <v>135</v>
      </c>
      <c r="H48" s="2" t="s">
        <v>93</v>
      </c>
      <c r="I48" s="3">
        <v>46265</v>
      </c>
      <c r="J48" s="2" t="s">
        <v>34</v>
      </c>
      <c r="K48" s="3">
        <v>46209</v>
      </c>
      <c r="L48" t="str">
        <f>IF(COUNTIF(iCIMS_Export!M:M,A48)&gt;0,"Yes","No")</f>
        <v>Yes</v>
      </c>
      <c r="M48">
        <f>_xlfn.XLOOKUP(A48,iCIMS_Export!$M$2:$M$57,iCIMS_Export!$A$2:$A$57,"")</f>
        <v>4136</v>
      </c>
      <c r="N48">
        <f>IF(J48="Approved",Dashboard!$B$2-K48,"")</f>
        <v>86</v>
      </c>
      <c r="O48" t="str">
        <f t="shared" si="0"/>
        <v/>
      </c>
      <c r="P48">
        <f t="shared" si="1"/>
        <v>1</v>
      </c>
      <c r="Q48">
        <f t="shared" si="2"/>
        <v>10</v>
      </c>
    </row>
    <row r="49" spans="1:17">
      <c r="A49" s="2" t="s">
        <v>191</v>
      </c>
      <c r="B49" s="3">
        <v>46205</v>
      </c>
      <c r="C49" s="2" t="s">
        <v>95</v>
      </c>
      <c r="D49" s="2" t="s">
        <v>96</v>
      </c>
      <c r="E49" s="2" t="s">
        <v>111</v>
      </c>
      <c r="F49" s="2" t="s">
        <v>88</v>
      </c>
      <c r="G49" s="2" t="s">
        <v>77</v>
      </c>
      <c r="H49" s="2" t="s">
        <v>93</v>
      </c>
      <c r="I49" s="3">
        <v>46262</v>
      </c>
      <c r="J49" s="2" t="s">
        <v>121</v>
      </c>
      <c r="K49" s="2"/>
      <c r="L49" t="str">
        <f>IF(COUNTIF(iCIMS_Export!M:M,A49)&gt;0,"Yes","No")</f>
        <v>No</v>
      </c>
      <c r="M49" t="str">
        <f>_xlfn.XLOOKUP(A49,iCIMS_Export!$M$2:$M$57,iCIMS_Export!$A$2:$A$57,"")</f>
        <v/>
      </c>
      <c r="N49" t="str">
        <f>IF(J49="Approved",Dashboard!$B$2-K49,"")</f>
        <v/>
      </c>
      <c r="O49" t="str">
        <f t="shared" si="0"/>
        <v/>
      </c>
      <c r="P49">
        <f t="shared" si="1"/>
        <v>1</v>
      </c>
      <c r="Q49" t="str">
        <f t="shared" si="2"/>
        <v/>
      </c>
    </row>
    <row r="50" spans="1:17">
      <c r="A50" s="2" t="s">
        <v>192</v>
      </c>
      <c r="B50" s="3">
        <v>46209</v>
      </c>
      <c r="C50" s="2" t="s">
        <v>167</v>
      </c>
      <c r="D50" s="2" t="s">
        <v>81</v>
      </c>
      <c r="E50" s="2" t="s">
        <v>165</v>
      </c>
      <c r="F50" s="2" t="s">
        <v>88</v>
      </c>
      <c r="G50" s="2" t="s">
        <v>77</v>
      </c>
      <c r="H50" s="2" t="s">
        <v>78</v>
      </c>
      <c r="I50" s="3">
        <v>46293</v>
      </c>
      <c r="J50" s="2" t="s">
        <v>34</v>
      </c>
      <c r="K50" s="3">
        <v>46224</v>
      </c>
      <c r="L50" t="str">
        <f>IF(COUNTIF(iCIMS_Export!M:M,A50)&gt;0,"Yes","No")</f>
        <v>Yes</v>
      </c>
      <c r="M50">
        <f>_xlfn.XLOOKUP(A50,iCIMS_Export!$M$2:$M$57,iCIMS_Export!$A$2:$A$57,"")</f>
        <v>4143</v>
      </c>
      <c r="N50">
        <f>IF(J50="Approved",Dashboard!$B$2-K50,"")</f>
        <v>71</v>
      </c>
      <c r="O50" t="str">
        <f t="shared" si="0"/>
        <v/>
      </c>
      <c r="P50">
        <f t="shared" si="1"/>
        <v>1</v>
      </c>
      <c r="Q50">
        <f t="shared" si="2"/>
        <v>15</v>
      </c>
    </row>
    <row r="51" spans="1:17">
      <c r="A51" s="2" t="s">
        <v>193</v>
      </c>
      <c r="B51" s="3">
        <v>46212</v>
      </c>
      <c r="C51" s="2" t="s">
        <v>156</v>
      </c>
      <c r="D51" s="2" t="s">
        <v>81</v>
      </c>
      <c r="E51" s="2" t="s">
        <v>154</v>
      </c>
      <c r="F51" s="2" t="s">
        <v>88</v>
      </c>
      <c r="G51" s="2" t="s">
        <v>77</v>
      </c>
      <c r="H51" s="2" t="s">
        <v>93</v>
      </c>
      <c r="I51" s="3">
        <v>46269</v>
      </c>
      <c r="J51" s="2" t="s">
        <v>34</v>
      </c>
      <c r="K51" s="3">
        <v>46224</v>
      </c>
      <c r="L51" t="str">
        <f>IF(COUNTIF(iCIMS_Export!M:M,A51)&gt;0,"Yes","No")</f>
        <v>No</v>
      </c>
      <c r="M51" t="str">
        <f>_xlfn.XLOOKUP(A51,iCIMS_Export!$M$2:$M$57,iCIMS_Export!$A$2:$A$57,"")</f>
        <v/>
      </c>
      <c r="N51">
        <f>IF(J51="Approved",Dashboard!$B$2-K51,"")</f>
        <v>71</v>
      </c>
      <c r="O51" t="str">
        <f t="shared" si="0"/>
        <v>Stale gap</v>
      </c>
      <c r="P51">
        <f t="shared" si="1"/>
        <v>1</v>
      </c>
      <c r="Q51">
        <f t="shared" si="2"/>
        <v>12</v>
      </c>
    </row>
    <row r="52" spans="1:17">
      <c r="A52" s="2" t="s">
        <v>194</v>
      </c>
      <c r="B52" s="3">
        <v>46216</v>
      </c>
      <c r="C52" s="2" t="s">
        <v>80</v>
      </c>
      <c r="D52" s="2" t="s">
        <v>81</v>
      </c>
      <c r="E52" s="2" t="s">
        <v>154</v>
      </c>
      <c r="F52" s="2" t="s">
        <v>76</v>
      </c>
      <c r="G52" s="2" t="s">
        <v>77</v>
      </c>
      <c r="H52" s="2" t="s">
        <v>93</v>
      </c>
      <c r="I52" s="3">
        <v>46289</v>
      </c>
      <c r="J52" s="2" t="s">
        <v>34</v>
      </c>
      <c r="K52" s="3">
        <v>46226</v>
      </c>
      <c r="L52" t="str">
        <f>IF(COUNTIF(iCIMS_Export!M:M,A52)&gt;0,"Yes","No")</f>
        <v>Yes</v>
      </c>
      <c r="M52">
        <f>_xlfn.XLOOKUP(A52,iCIMS_Export!$M$2:$M$57,iCIMS_Export!$A$2:$A$57,"")</f>
        <v>4142</v>
      </c>
      <c r="N52">
        <f>IF(J52="Approved",Dashboard!$B$2-K52,"")</f>
        <v>69</v>
      </c>
      <c r="O52" t="str">
        <f t="shared" si="0"/>
        <v/>
      </c>
      <c r="P52">
        <f t="shared" si="1"/>
        <v>1</v>
      </c>
      <c r="Q52">
        <f t="shared" si="2"/>
        <v>10</v>
      </c>
    </row>
    <row r="53" spans="1:17">
      <c r="A53" s="2" t="s">
        <v>195</v>
      </c>
      <c r="B53" s="3">
        <v>46217</v>
      </c>
      <c r="C53" s="2" t="s">
        <v>167</v>
      </c>
      <c r="D53" s="2" t="s">
        <v>81</v>
      </c>
      <c r="E53" s="2" t="s">
        <v>82</v>
      </c>
      <c r="F53" s="2" t="s">
        <v>76</v>
      </c>
      <c r="G53" s="2" t="s">
        <v>135</v>
      </c>
      <c r="H53" s="2" t="s">
        <v>83</v>
      </c>
      <c r="I53" s="3">
        <v>46286</v>
      </c>
      <c r="J53" s="2" t="s">
        <v>34</v>
      </c>
      <c r="K53" s="3">
        <v>46227</v>
      </c>
      <c r="L53" t="str">
        <f>IF(COUNTIF(iCIMS_Export!M:M,A53)&gt;0,"Yes","No")</f>
        <v>Yes</v>
      </c>
      <c r="M53">
        <f>_xlfn.XLOOKUP(A53,iCIMS_Export!$M$2:$M$57,iCIMS_Export!$A$2:$A$57,"")</f>
        <v>4140</v>
      </c>
      <c r="N53">
        <f>IF(J53="Approved",Dashboard!$B$2-K53,"")</f>
        <v>68</v>
      </c>
      <c r="O53" t="str">
        <f t="shared" si="0"/>
        <v/>
      </c>
      <c r="P53">
        <f t="shared" si="1"/>
        <v>1</v>
      </c>
      <c r="Q53">
        <f t="shared" si="2"/>
        <v>10</v>
      </c>
    </row>
    <row r="54" spans="1:17">
      <c r="A54" s="2" t="s">
        <v>196</v>
      </c>
      <c r="B54" s="3">
        <v>46219</v>
      </c>
      <c r="C54" s="2" t="s">
        <v>110</v>
      </c>
      <c r="D54" s="2" t="s">
        <v>96</v>
      </c>
      <c r="E54" s="2" t="s">
        <v>197</v>
      </c>
      <c r="F54" s="2" t="s">
        <v>76</v>
      </c>
      <c r="G54" s="2" t="s">
        <v>77</v>
      </c>
      <c r="H54" s="2"/>
      <c r="I54" s="3">
        <v>46308</v>
      </c>
      <c r="J54" s="2" t="s">
        <v>34</v>
      </c>
      <c r="K54" s="3">
        <v>46233</v>
      </c>
      <c r="L54" t="str">
        <f>IF(COUNTIF(iCIMS_Export!M:M,A54)&gt;0,"Yes","No")</f>
        <v>Yes</v>
      </c>
      <c r="M54">
        <f>_xlfn.XLOOKUP(A54,iCIMS_Export!$M$2:$M$57,iCIMS_Export!$A$2:$A$57,"")</f>
        <v>4144</v>
      </c>
      <c r="N54">
        <f>IF(J54="Approved",Dashboard!$B$2-K54,"")</f>
        <v>62</v>
      </c>
      <c r="O54" t="str">
        <f t="shared" si="0"/>
        <v/>
      </c>
      <c r="P54">
        <f t="shared" si="1"/>
        <v>1</v>
      </c>
      <c r="Q54">
        <f t="shared" si="2"/>
        <v>14</v>
      </c>
    </row>
    <row r="55" spans="1:17">
      <c r="A55" s="2" t="s">
        <v>198</v>
      </c>
      <c r="B55" s="3">
        <v>46230</v>
      </c>
      <c r="C55" s="2" t="s">
        <v>107</v>
      </c>
      <c r="D55" s="2" t="s">
        <v>86</v>
      </c>
      <c r="E55" s="2" t="s">
        <v>87</v>
      </c>
      <c r="F55" s="2" t="s">
        <v>88</v>
      </c>
      <c r="G55" s="2" t="s">
        <v>199</v>
      </c>
      <c r="H55" s="2" t="s">
        <v>93</v>
      </c>
      <c r="I55" s="3">
        <v>46321</v>
      </c>
      <c r="J55" s="2" t="s">
        <v>34</v>
      </c>
      <c r="K55" s="3">
        <v>46241</v>
      </c>
      <c r="L55" t="str">
        <f>IF(COUNTIF(iCIMS_Export!M:M,A55)&gt;0,"Yes","No")</f>
        <v>Yes</v>
      </c>
      <c r="M55">
        <f>_xlfn.XLOOKUP(A55,iCIMS_Export!$M$2:$M$57,iCIMS_Export!$A$2:$A$57,"")</f>
        <v>4145</v>
      </c>
      <c r="N55">
        <f>IF(J55="Approved",Dashboard!$B$2-K55,"")</f>
        <v>54</v>
      </c>
      <c r="O55" t="str">
        <f t="shared" si="0"/>
        <v/>
      </c>
      <c r="P55">
        <f t="shared" si="1"/>
        <v>1</v>
      </c>
      <c r="Q55">
        <f t="shared" si="2"/>
        <v>11</v>
      </c>
    </row>
    <row r="56" spans="1:17">
      <c r="A56" s="2" t="s">
        <v>200</v>
      </c>
      <c r="B56" s="3">
        <v>46233</v>
      </c>
      <c r="C56" s="2" t="s">
        <v>127</v>
      </c>
      <c r="D56" s="2" t="s">
        <v>128</v>
      </c>
      <c r="E56" s="2" t="s">
        <v>129</v>
      </c>
      <c r="F56" s="2" t="s">
        <v>76</v>
      </c>
      <c r="G56" s="2" t="s">
        <v>77</v>
      </c>
      <c r="H56" s="2" t="s">
        <v>78</v>
      </c>
      <c r="I56" s="3">
        <v>46310</v>
      </c>
      <c r="J56" s="2" t="s">
        <v>34</v>
      </c>
      <c r="K56" s="3">
        <v>46251</v>
      </c>
      <c r="L56" t="str">
        <f>IF(COUNTIF(iCIMS_Export!M:M,A56)&gt;0,"Yes","No")</f>
        <v>Yes</v>
      </c>
      <c r="M56">
        <f>_xlfn.XLOOKUP(A56,iCIMS_Export!$M$2:$M$57,iCIMS_Export!$A$2:$A$57,"")</f>
        <v>4147</v>
      </c>
      <c r="N56">
        <f>IF(J56="Approved",Dashboard!$B$2-K56,"")</f>
        <v>44</v>
      </c>
      <c r="O56" t="str">
        <f t="shared" si="0"/>
        <v/>
      </c>
      <c r="P56">
        <f t="shared" si="1"/>
        <v>1</v>
      </c>
      <c r="Q56">
        <f t="shared" si="2"/>
        <v>18</v>
      </c>
    </row>
    <row r="57" spans="1:17">
      <c r="A57" s="2" t="s">
        <v>201</v>
      </c>
      <c r="B57" s="3">
        <v>46233</v>
      </c>
      <c r="C57" s="2" t="s">
        <v>99</v>
      </c>
      <c r="D57" s="2" t="s">
        <v>100</v>
      </c>
      <c r="E57" s="2" t="s">
        <v>101</v>
      </c>
      <c r="F57" s="2" t="s">
        <v>76</v>
      </c>
      <c r="G57" s="2" t="s">
        <v>199</v>
      </c>
      <c r="H57" s="2" t="s">
        <v>83</v>
      </c>
      <c r="I57" s="3">
        <v>46300</v>
      </c>
      <c r="J57" s="2" t="s">
        <v>34</v>
      </c>
      <c r="K57" s="3">
        <v>46244</v>
      </c>
      <c r="L57" t="str">
        <f>IF(COUNTIF(iCIMS_Export!M:M,A57)&gt;0,"Yes","No")</f>
        <v>Yes</v>
      </c>
      <c r="M57">
        <f>_xlfn.XLOOKUP(A57,iCIMS_Export!$M$2:$M$57,iCIMS_Export!$A$2:$A$57,"")</f>
        <v>4146</v>
      </c>
      <c r="N57">
        <f>IF(J57="Approved",Dashboard!$B$2-K57,"")</f>
        <v>51</v>
      </c>
      <c r="O57" t="str">
        <f t="shared" si="0"/>
        <v/>
      </c>
      <c r="P57">
        <f t="shared" si="1"/>
        <v>1</v>
      </c>
      <c r="Q57">
        <f t="shared" si="2"/>
        <v>11</v>
      </c>
    </row>
    <row r="58" spans="1:17">
      <c r="A58" s="2" t="s">
        <v>202</v>
      </c>
      <c r="B58" s="3">
        <v>46237</v>
      </c>
      <c r="C58" s="2" t="s">
        <v>91</v>
      </c>
      <c r="D58" s="2" t="s">
        <v>86</v>
      </c>
      <c r="E58" s="2" t="s">
        <v>140</v>
      </c>
      <c r="F58" s="2" t="s">
        <v>76</v>
      </c>
      <c r="G58" s="2" t="s">
        <v>77</v>
      </c>
      <c r="H58" s="2" t="s">
        <v>93</v>
      </c>
      <c r="I58" s="3">
        <v>46307</v>
      </c>
      <c r="J58" s="2" t="s">
        <v>121</v>
      </c>
      <c r="K58" s="2"/>
      <c r="L58" t="str">
        <f>IF(COUNTIF(iCIMS_Export!M:M,A58)&gt;0,"Yes","No")</f>
        <v>No</v>
      </c>
      <c r="M58" t="str">
        <f>_xlfn.XLOOKUP(A58,iCIMS_Export!$M$2:$M$57,iCIMS_Export!$A$2:$A$57,"")</f>
        <v/>
      </c>
      <c r="N58" t="str">
        <f>IF(J58="Approved",Dashboard!$B$2-K58,"")</f>
        <v/>
      </c>
      <c r="O58" t="str">
        <f t="shared" si="0"/>
        <v/>
      </c>
      <c r="P58">
        <f t="shared" si="1"/>
        <v>1</v>
      </c>
      <c r="Q58" t="str">
        <f t="shared" si="2"/>
        <v/>
      </c>
    </row>
    <row r="59" spans="1:17">
      <c r="A59" s="2" t="s">
        <v>203</v>
      </c>
      <c r="B59" s="3">
        <v>46238</v>
      </c>
      <c r="C59" s="2" t="s">
        <v>73</v>
      </c>
      <c r="D59" s="2" t="s">
        <v>74</v>
      </c>
      <c r="E59" s="2" t="s">
        <v>120</v>
      </c>
      <c r="F59" s="2" t="s">
        <v>88</v>
      </c>
      <c r="G59" s="2" t="s">
        <v>77</v>
      </c>
      <c r="H59" s="2" t="s">
        <v>93</v>
      </c>
      <c r="I59" s="3">
        <v>46321</v>
      </c>
      <c r="J59" s="2" t="s">
        <v>34</v>
      </c>
      <c r="K59" s="3">
        <v>46246</v>
      </c>
      <c r="L59" t="str">
        <f>IF(COUNTIF(iCIMS_Export!M:M,A59)&gt;0,"Yes","No")</f>
        <v>No</v>
      </c>
      <c r="M59" t="str">
        <f>_xlfn.XLOOKUP(A59,iCIMS_Export!$M$2:$M$57,iCIMS_Export!$A$2:$A$57,"")</f>
        <v/>
      </c>
      <c r="N59">
        <f>IF(J59="Approved",Dashboard!$B$2-K59,"")</f>
        <v>49</v>
      </c>
      <c r="O59" t="str">
        <f t="shared" si="0"/>
        <v>Stale gap</v>
      </c>
      <c r="P59">
        <f t="shared" si="1"/>
        <v>1</v>
      </c>
      <c r="Q59">
        <f t="shared" si="2"/>
        <v>8</v>
      </c>
    </row>
    <row r="60" spans="1:17">
      <c r="A60" s="2" t="s">
        <v>204</v>
      </c>
      <c r="B60" s="3">
        <v>46241</v>
      </c>
      <c r="C60" s="2" t="s">
        <v>91</v>
      </c>
      <c r="D60" s="2" t="s">
        <v>86</v>
      </c>
      <c r="E60" s="2" t="s">
        <v>177</v>
      </c>
      <c r="F60" s="2" t="s">
        <v>88</v>
      </c>
      <c r="G60" s="2" t="s">
        <v>77</v>
      </c>
      <c r="H60" s="2" t="s">
        <v>93</v>
      </c>
      <c r="I60" s="3">
        <v>46317</v>
      </c>
      <c r="J60" s="2" t="s">
        <v>34</v>
      </c>
      <c r="K60" s="3">
        <v>46252</v>
      </c>
      <c r="L60" t="str">
        <f>IF(COUNTIF(iCIMS_Export!M:M,A60)&gt;0,"Yes","No")</f>
        <v>Yes</v>
      </c>
      <c r="M60">
        <f>_xlfn.XLOOKUP(A60,iCIMS_Export!$M$2:$M$57,iCIMS_Export!$A$2:$A$57,"")</f>
        <v>4148</v>
      </c>
      <c r="N60">
        <f>IF(J60="Approved",Dashboard!$B$2-K60,"")</f>
        <v>43</v>
      </c>
      <c r="O60" t="str">
        <f t="shared" si="0"/>
        <v/>
      </c>
      <c r="P60">
        <f t="shared" si="1"/>
        <v>1</v>
      </c>
      <c r="Q60">
        <f t="shared" si="2"/>
        <v>11</v>
      </c>
    </row>
    <row r="61" spans="1:17">
      <c r="A61" s="2" t="s">
        <v>205</v>
      </c>
      <c r="B61" s="3">
        <v>46255</v>
      </c>
      <c r="C61" s="2" t="s">
        <v>167</v>
      </c>
      <c r="D61" s="2" t="s">
        <v>81</v>
      </c>
      <c r="E61" s="2" t="s">
        <v>190</v>
      </c>
      <c r="F61" s="2" t="s">
        <v>76</v>
      </c>
      <c r="G61" s="2" t="s">
        <v>77</v>
      </c>
      <c r="H61" s="2" t="s">
        <v>93</v>
      </c>
      <c r="I61" s="3">
        <v>46303</v>
      </c>
      <c r="J61" s="2" t="s">
        <v>34</v>
      </c>
      <c r="K61" s="3">
        <v>46261</v>
      </c>
      <c r="L61" t="str">
        <f>IF(COUNTIF(iCIMS_Export!M:M,A61)&gt;0,"Yes","No")</f>
        <v>Yes</v>
      </c>
      <c r="M61">
        <f>_xlfn.XLOOKUP(A61,iCIMS_Export!$M$2:$M$57,iCIMS_Export!$A$2:$A$57,"")</f>
        <v>4149</v>
      </c>
      <c r="N61">
        <f>IF(J61="Approved",Dashboard!$B$2-K61,"")</f>
        <v>34</v>
      </c>
      <c r="O61" t="str">
        <f t="shared" si="0"/>
        <v/>
      </c>
      <c r="P61">
        <f t="shared" si="1"/>
        <v>1</v>
      </c>
      <c r="Q61">
        <f t="shared" si="2"/>
        <v>6</v>
      </c>
    </row>
    <row r="62" spans="1:17">
      <c r="A62" s="2" t="s">
        <v>206</v>
      </c>
      <c r="B62" s="3">
        <v>46255</v>
      </c>
      <c r="C62" s="2" t="s">
        <v>161</v>
      </c>
      <c r="D62" s="2" t="s">
        <v>114</v>
      </c>
      <c r="E62" s="2" t="s">
        <v>175</v>
      </c>
      <c r="F62" s="2" t="s">
        <v>88</v>
      </c>
      <c r="G62" s="2" t="s">
        <v>77</v>
      </c>
      <c r="H62" s="2" t="s">
        <v>78</v>
      </c>
      <c r="I62" s="3">
        <v>46307</v>
      </c>
      <c r="J62" s="2" t="s">
        <v>34</v>
      </c>
      <c r="K62" s="3">
        <v>46268</v>
      </c>
      <c r="L62" t="str">
        <f>IF(COUNTIF(iCIMS_Export!M:M,A62)&gt;0,"Yes","No")</f>
        <v>Yes</v>
      </c>
      <c r="M62">
        <f>_xlfn.XLOOKUP(A62,iCIMS_Export!$M$2:$M$57,iCIMS_Export!$A$2:$A$57,"")</f>
        <v>4152</v>
      </c>
      <c r="N62">
        <f>IF(J62="Approved",Dashboard!$B$2-K62,"")</f>
        <v>27</v>
      </c>
      <c r="O62" t="str">
        <f t="shared" si="0"/>
        <v/>
      </c>
      <c r="P62">
        <f t="shared" si="1"/>
        <v>1</v>
      </c>
      <c r="Q62">
        <f t="shared" si="2"/>
        <v>13</v>
      </c>
    </row>
    <row r="63" spans="1:17">
      <c r="A63" s="2" t="s">
        <v>207</v>
      </c>
      <c r="B63" s="3">
        <v>46261</v>
      </c>
      <c r="C63" s="2" t="s">
        <v>182</v>
      </c>
      <c r="D63" s="2" t="s">
        <v>104</v>
      </c>
      <c r="E63" s="2" t="s">
        <v>105</v>
      </c>
      <c r="F63" s="2" t="s">
        <v>76</v>
      </c>
      <c r="G63" s="2" t="s">
        <v>135</v>
      </c>
      <c r="H63" s="2" t="s">
        <v>83</v>
      </c>
      <c r="I63" s="3">
        <v>46328</v>
      </c>
      <c r="J63" s="2" t="s">
        <v>34</v>
      </c>
      <c r="K63" s="3">
        <v>46274</v>
      </c>
      <c r="L63" t="str">
        <f>IF(COUNTIF(iCIMS_Export!M:M,A63)&gt;0,"Yes","No")</f>
        <v>Yes</v>
      </c>
      <c r="M63">
        <f>_xlfn.XLOOKUP(A63,iCIMS_Export!$M$2:$M$57,iCIMS_Export!$A$2:$A$57,"")</f>
        <v>4151</v>
      </c>
      <c r="N63">
        <f>IF(J63="Approved",Dashboard!$B$2-K63,"")</f>
        <v>21</v>
      </c>
      <c r="O63" t="str">
        <f t="shared" si="0"/>
        <v/>
      </c>
      <c r="P63">
        <f t="shared" si="1"/>
        <v>1</v>
      </c>
      <c r="Q63">
        <f t="shared" si="2"/>
        <v>13</v>
      </c>
    </row>
    <row r="64" spans="1:17">
      <c r="A64" s="2" t="s">
        <v>208</v>
      </c>
      <c r="B64" s="3">
        <v>46266</v>
      </c>
      <c r="C64" s="2" t="s">
        <v>127</v>
      </c>
      <c r="D64" s="2" t="s">
        <v>128</v>
      </c>
      <c r="E64" s="2" t="s">
        <v>170</v>
      </c>
      <c r="F64" s="2" t="s">
        <v>76</v>
      </c>
      <c r="G64" s="2" t="s">
        <v>77</v>
      </c>
      <c r="H64" s="2" t="s">
        <v>78</v>
      </c>
      <c r="I64" s="3">
        <v>46339</v>
      </c>
      <c r="J64" s="2" t="s">
        <v>34</v>
      </c>
      <c r="K64" s="3">
        <v>46273</v>
      </c>
      <c r="L64" t="str">
        <f>IF(COUNTIF(iCIMS_Export!M:M,A64)&gt;0,"Yes","No")</f>
        <v>Yes</v>
      </c>
      <c r="M64">
        <f>_xlfn.XLOOKUP(A64,iCIMS_Export!$M$2:$M$57,iCIMS_Export!$A$2:$A$57,"")</f>
        <v>4150</v>
      </c>
      <c r="N64">
        <f>IF(J64="Approved",Dashboard!$B$2-K64,"")</f>
        <v>22</v>
      </c>
      <c r="O64" t="str">
        <f t="shared" si="0"/>
        <v/>
      </c>
      <c r="P64">
        <f t="shared" si="1"/>
        <v>1</v>
      </c>
      <c r="Q64">
        <f t="shared" si="2"/>
        <v>7</v>
      </c>
    </row>
    <row r="65" spans="1:17">
      <c r="A65" s="2" t="s">
        <v>209</v>
      </c>
      <c r="B65" s="3">
        <v>46268</v>
      </c>
      <c r="C65" s="2" t="s">
        <v>107</v>
      </c>
      <c r="D65" s="2" t="s">
        <v>86</v>
      </c>
      <c r="E65" s="2" t="s">
        <v>92</v>
      </c>
      <c r="F65" s="2" t="s">
        <v>88</v>
      </c>
      <c r="G65" s="2" t="s">
        <v>77</v>
      </c>
      <c r="H65" s="2" t="s">
        <v>78</v>
      </c>
      <c r="I65" s="3">
        <v>46356</v>
      </c>
      <c r="J65" s="2" t="s">
        <v>34</v>
      </c>
      <c r="K65" s="3">
        <v>46282</v>
      </c>
      <c r="L65" t="str">
        <f>IF(COUNTIF(iCIMS_Export!M:M,A65)&gt;0,"Yes","No")</f>
        <v>Yes</v>
      </c>
      <c r="M65">
        <f>_xlfn.XLOOKUP(A65,iCIMS_Export!$M$2:$M$57,iCIMS_Export!$A$2:$A$57,"")</f>
        <v>4154</v>
      </c>
      <c r="N65">
        <f>IF(J65="Approved",Dashboard!$B$2-K65,"")</f>
        <v>13</v>
      </c>
      <c r="O65" t="str">
        <f t="shared" si="0"/>
        <v/>
      </c>
      <c r="P65">
        <f t="shared" si="1"/>
        <v>1</v>
      </c>
      <c r="Q65">
        <f t="shared" si="2"/>
        <v>14</v>
      </c>
    </row>
    <row r="66" spans="1:17">
      <c r="A66" s="2" t="s">
        <v>210</v>
      </c>
      <c r="B66" s="3">
        <v>46268</v>
      </c>
      <c r="C66" s="2" t="s">
        <v>91</v>
      </c>
      <c r="D66" s="2" t="s">
        <v>86</v>
      </c>
      <c r="E66" s="2" t="s">
        <v>92</v>
      </c>
      <c r="F66" s="2" t="s">
        <v>76</v>
      </c>
      <c r="G66" s="2" t="s">
        <v>77</v>
      </c>
      <c r="H66" s="2" t="s">
        <v>93</v>
      </c>
      <c r="I66" s="3">
        <v>46356</v>
      </c>
      <c r="J66" s="2" t="s">
        <v>34</v>
      </c>
      <c r="K66" s="3">
        <v>46280</v>
      </c>
      <c r="L66" t="str">
        <f>IF(COUNTIF(iCIMS_Export!M:M,A66)&gt;0,"Yes","No")</f>
        <v>Yes</v>
      </c>
      <c r="M66">
        <f>_xlfn.XLOOKUP(A66,iCIMS_Export!$M$2:$M$57,iCIMS_Export!$A$2:$A$57,"")</f>
        <v>4153</v>
      </c>
      <c r="N66">
        <f>IF(J66="Approved",Dashboard!$B$2-K66,"")</f>
        <v>15</v>
      </c>
      <c r="O66" t="str">
        <f t="shared" si="0"/>
        <v/>
      </c>
      <c r="P66">
        <f t="shared" si="1"/>
        <v>1</v>
      </c>
      <c r="Q66">
        <f t="shared" si="2"/>
        <v>12</v>
      </c>
    </row>
    <row r="67" spans="1:17">
      <c r="A67" s="2" t="s">
        <v>211</v>
      </c>
      <c r="B67" s="3">
        <v>46269</v>
      </c>
      <c r="C67" s="2" t="s">
        <v>80</v>
      </c>
      <c r="D67" s="2" t="s">
        <v>81</v>
      </c>
      <c r="E67" s="2" t="s">
        <v>190</v>
      </c>
      <c r="F67" s="2" t="s">
        <v>88</v>
      </c>
      <c r="G67" s="2" t="s">
        <v>77</v>
      </c>
      <c r="H67" s="2" t="s">
        <v>78</v>
      </c>
      <c r="I67" s="3">
        <v>46329</v>
      </c>
      <c r="J67" s="2" t="s">
        <v>212</v>
      </c>
      <c r="K67" s="2"/>
      <c r="L67" t="str">
        <f>IF(COUNTIF(iCIMS_Export!M:M,A67)&gt;0,"Yes","No")</f>
        <v>No</v>
      </c>
      <c r="M67" t="str">
        <f>_xlfn.XLOOKUP(A67,iCIMS_Export!$M$2:$M$57,iCIMS_Export!$A$2:$A$57,"")</f>
        <v/>
      </c>
      <c r="N67" t="str">
        <f>IF(J67="Approved",Dashboard!$B$2-K67,"")</f>
        <v/>
      </c>
      <c r="O67" t="str">
        <f t="shared" ref="O67:O82" si="3">IF(AND(J67="Approved",L67="No"),IF(N67&gt;7,"Stale gap","Recent"),"")</f>
        <v/>
      </c>
      <c r="P67">
        <f t="shared" ref="P67:P82" si="4">COUNTIFS($C$2:$C$82,C67,$E$2:$E$82,E67,$B$2:$B$82,"&gt;="&amp;B67-7,$B$2:$B$82,"&lt;="&amp;B67+7)</f>
        <v>1</v>
      </c>
      <c r="Q67" t="str">
        <f t="shared" ref="Q67:Q82" si="5">IF(J67="Approved",K67-B67,"")</f>
        <v/>
      </c>
    </row>
    <row r="68" spans="1:17">
      <c r="A68" s="2" t="s">
        <v>213</v>
      </c>
      <c r="B68" s="3">
        <v>46274</v>
      </c>
      <c r="C68" s="2" t="s">
        <v>119</v>
      </c>
      <c r="D68" s="2" t="s">
        <v>74</v>
      </c>
      <c r="E68" s="2" t="s">
        <v>120</v>
      </c>
      <c r="F68" s="2" t="s">
        <v>88</v>
      </c>
      <c r="G68" s="2" t="s">
        <v>77</v>
      </c>
      <c r="H68" s="2" t="s">
        <v>78</v>
      </c>
      <c r="I68" s="3">
        <v>46328</v>
      </c>
      <c r="J68" s="2" t="s">
        <v>212</v>
      </c>
      <c r="K68" s="2"/>
      <c r="L68" t="str">
        <f>IF(COUNTIF(iCIMS_Export!M:M,A68)&gt;0,"Yes","No")</f>
        <v>No</v>
      </c>
      <c r="M68" t="str">
        <f>_xlfn.XLOOKUP(A68,iCIMS_Export!$M$2:$M$57,iCIMS_Export!$A$2:$A$57,"")</f>
        <v/>
      </c>
      <c r="N68" t="str">
        <f>IF(J68="Approved",Dashboard!$B$2-K68,"")</f>
        <v/>
      </c>
      <c r="O68" t="str">
        <f t="shared" si="3"/>
        <v/>
      </c>
      <c r="P68">
        <f t="shared" si="4"/>
        <v>1</v>
      </c>
      <c r="Q68" t="str">
        <f t="shared" si="5"/>
        <v/>
      </c>
    </row>
    <row r="69" spans="1:17">
      <c r="A69" s="2" t="s">
        <v>214</v>
      </c>
      <c r="B69" s="3">
        <v>46275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93</v>
      </c>
      <c r="I69" s="3">
        <v>46337</v>
      </c>
      <c r="J69" s="2" t="s">
        <v>212</v>
      </c>
      <c r="K69" s="2"/>
      <c r="L69" t="str">
        <f>IF(COUNTIF(iCIMS_Export!M:M,A69)&gt;0,"Yes","No")</f>
        <v>No</v>
      </c>
      <c r="M69" t="str">
        <f>_xlfn.XLOOKUP(A69,iCIMS_Export!$M$2:$M$57,iCIMS_Export!$A$2:$A$57,"")</f>
        <v/>
      </c>
      <c r="N69" t="str">
        <f>IF(J69="Approved",Dashboard!$B$2-K69,"")</f>
        <v/>
      </c>
      <c r="O69" t="str">
        <f t="shared" si="3"/>
        <v/>
      </c>
      <c r="P69">
        <f t="shared" si="4"/>
        <v>1</v>
      </c>
      <c r="Q69" t="str">
        <f t="shared" si="5"/>
        <v/>
      </c>
    </row>
    <row r="70" spans="1:17">
      <c r="A70" s="2" t="s">
        <v>215</v>
      </c>
      <c r="B70" s="3">
        <v>46275</v>
      </c>
      <c r="C70" s="2" t="s">
        <v>85</v>
      </c>
      <c r="D70" s="2" t="s">
        <v>86</v>
      </c>
      <c r="E70" s="2" t="s">
        <v>87</v>
      </c>
      <c r="F70" s="2" t="s">
        <v>76</v>
      </c>
      <c r="G70" s="2" t="s">
        <v>77</v>
      </c>
      <c r="H70" s="2" t="s">
        <v>93</v>
      </c>
      <c r="I70" s="3">
        <v>46321</v>
      </c>
      <c r="J70" s="2" t="s">
        <v>34</v>
      </c>
      <c r="K70" s="3">
        <v>46282</v>
      </c>
      <c r="L70" t="str">
        <f>IF(COUNTIF(iCIMS_Export!M:M,A70)&gt;0,"Yes","No")</f>
        <v>Yes</v>
      </c>
      <c r="M70">
        <f>_xlfn.XLOOKUP(A70,iCIMS_Export!$M$2:$M$57,iCIMS_Export!$A$2:$A$57,"")</f>
        <v>4155</v>
      </c>
      <c r="N70">
        <f>IF(J70="Approved",Dashboard!$B$2-K70,"")</f>
        <v>13</v>
      </c>
      <c r="O70" t="str">
        <f t="shared" si="3"/>
        <v/>
      </c>
      <c r="P70">
        <f t="shared" si="4"/>
        <v>1</v>
      </c>
      <c r="Q70">
        <f t="shared" si="5"/>
        <v>7</v>
      </c>
    </row>
    <row r="71" spans="1:17">
      <c r="A71" s="2" t="s">
        <v>216</v>
      </c>
      <c r="B71" s="3">
        <v>46279</v>
      </c>
      <c r="C71" s="2" t="s">
        <v>110</v>
      </c>
      <c r="D71" s="2" t="s">
        <v>96</v>
      </c>
      <c r="E71" s="2" t="s">
        <v>197</v>
      </c>
      <c r="F71" s="2" t="s">
        <v>88</v>
      </c>
      <c r="G71" s="2" t="s">
        <v>77</v>
      </c>
      <c r="H71" s="2" t="s">
        <v>130</v>
      </c>
      <c r="I71" s="3">
        <v>46346</v>
      </c>
      <c r="J71" s="2" t="s">
        <v>34</v>
      </c>
      <c r="K71" s="3">
        <v>46288</v>
      </c>
      <c r="L71" t="str">
        <f>IF(COUNTIF(iCIMS_Export!M:M,A71)&gt;0,"Yes","No")</f>
        <v>No</v>
      </c>
      <c r="M71" t="str">
        <f>_xlfn.XLOOKUP(A71,iCIMS_Export!$M$2:$M$57,iCIMS_Export!$A$2:$A$57,"")</f>
        <v/>
      </c>
      <c r="N71">
        <f>IF(J71="Approved",Dashboard!$B$2-K71,"")</f>
        <v>7</v>
      </c>
      <c r="O71" t="str">
        <f t="shared" si="3"/>
        <v>Recent</v>
      </c>
      <c r="P71">
        <f t="shared" si="4"/>
        <v>1</v>
      </c>
      <c r="Q71">
        <f t="shared" si="5"/>
        <v>9</v>
      </c>
    </row>
    <row r="72" spans="1:17">
      <c r="A72" s="2" t="s">
        <v>217</v>
      </c>
      <c r="B72" s="3">
        <v>46279</v>
      </c>
      <c r="C72" s="2" t="s">
        <v>182</v>
      </c>
      <c r="D72" s="2" t="s">
        <v>104</v>
      </c>
      <c r="E72" s="2" t="s">
        <v>117</v>
      </c>
      <c r="F72" s="2" t="s">
        <v>76</v>
      </c>
      <c r="G72" s="2" t="s">
        <v>77</v>
      </c>
      <c r="H72" s="2" t="s">
        <v>78</v>
      </c>
      <c r="I72" s="3">
        <v>46363</v>
      </c>
      <c r="J72" s="2" t="s">
        <v>34</v>
      </c>
      <c r="K72" s="3">
        <v>46288</v>
      </c>
      <c r="L72" t="str">
        <f>IF(COUNTIF(iCIMS_Export!M:M,A72)&gt;0,"Yes","No")</f>
        <v>No</v>
      </c>
      <c r="M72" t="str">
        <f>_xlfn.XLOOKUP(A72,iCIMS_Export!$M$2:$M$57,iCIMS_Export!$A$2:$A$57,"")</f>
        <v/>
      </c>
      <c r="N72">
        <f>IF(J72="Approved",Dashboard!$B$2-K72,"")</f>
        <v>7</v>
      </c>
      <c r="O72" t="str">
        <f t="shared" si="3"/>
        <v>Recent</v>
      </c>
      <c r="P72">
        <f t="shared" si="4"/>
        <v>1</v>
      </c>
      <c r="Q72">
        <f t="shared" si="5"/>
        <v>9</v>
      </c>
    </row>
    <row r="73" spans="1:17">
      <c r="A73" s="2" t="s">
        <v>218</v>
      </c>
      <c r="B73" s="3">
        <v>46279</v>
      </c>
      <c r="C73" s="2" t="s">
        <v>91</v>
      </c>
      <c r="D73" s="2" t="s">
        <v>86</v>
      </c>
      <c r="E73" s="2" t="s">
        <v>87</v>
      </c>
      <c r="F73" s="2" t="s">
        <v>76</v>
      </c>
      <c r="G73" s="2" t="s">
        <v>77</v>
      </c>
      <c r="H73" s="2" t="s">
        <v>93</v>
      </c>
      <c r="I73" s="3">
        <v>46370</v>
      </c>
      <c r="J73" s="2" t="s">
        <v>212</v>
      </c>
      <c r="K73" s="2"/>
      <c r="L73" t="str">
        <f>IF(COUNTIF(iCIMS_Export!M:M,A73)&gt;0,"Yes","No")</f>
        <v>Yes</v>
      </c>
      <c r="M73">
        <f>_xlfn.XLOOKUP(A73,iCIMS_Export!$M$2:$M$57,iCIMS_Export!$A$2:$A$57,"")</f>
        <v>4156</v>
      </c>
      <c r="N73" t="str">
        <f>IF(J73="Approved",Dashboard!$B$2-K73,"")</f>
        <v/>
      </c>
      <c r="O73" t="str">
        <f t="shared" si="3"/>
        <v/>
      </c>
      <c r="P73">
        <f t="shared" si="4"/>
        <v>1</v>
      </c>
      <c r="Q73" t="str">
        <f t="shared" si="5"/>
        <v/>
      </c>
    </row>
    <row r="74" spans="1:17">
      <c r="A74" s="2" t="s">
        <v>219</v>
      </c>
      <c r="B74" s="3">
        <v>46280</v>
      </c>
      <c r="C74" s="2" t="s">
        <v>161</v>
      </c>
      <c r="D74" s="2" t="s">
        <v>114</v>
      </c>
      <c r="E74" s="2" t="s">
        <v>148</v>
      </c>
      <c r="F74" s="2" t="s">
        <v>88</v>
      </c>
      <c r="G74" s="2" t="s">
        <v>77</v>
      </c>
      <c r="H74" s="2" t="s">
        <v>83</v>
      </c>
      <c r="I74" s="3">
        <v>46335</v>
      </c>
      <c r="J74" s="2" t="s">
        <v>212</v>
      </c>
      <c r="K74" s="2"/>
      <c r="L74" t="str">
        <f>IF(COUNTIF(iCIMS_Export!M:M,A74)&gt;0,"Yes","No")</f>
        <v>No</v>
      </c>
      <c r="M74" t="str">
        <f>_xlfn.XLOOKUP(A74,iCIMS_Export!$M$2:$M$57,iCIMS_Export!$A$2:$A$57,"")</f>
        <v/>
      </c>
      <c r="N74" t="str">
        <f>IF(J74="Approved",Dashboard!$B$2-K74,"")</f>
        <v/>
      </c>
      <c r="O74" t="str">
        <f t="shared" si="3"/>
        <v/>
      </c>
      <c r="P74">
        <f t="shared" si="4"/>
        <v>1</v>
      </c>
      <c r="Q74" t="str">
        <f t="shared" si="5"/>
        <v/>
      </c>
    </row>
    <row r="75" spans="1:17">
      <c r="A75" s="2" t="s">
        <v>220</v>
      </c>
      <c r="B75" s="3">
        <v>46280</v>
      </c>
      <c r="C75" s="2" t="s">
        <v>182</v>
      </c>
      <c r="D75" s="2" t="s">
        <v>104</v>
      </c>
      <c r="E75" s="2" t="s">
        <v>183</v>
      </c>
      <c r="F75" s="2" t="s">
        <v>76</v>
      </c>
      <c r="G75" s="2" t="s">
        <v>77</v>
      </c>
      <c r="H75" s="2" t="s">
        <v>93</v>
      </c>
      <c r="I75" s="3">
        <v>46331</v>
      </c>
      <c r="J75" s="2" t="s">
        <v>212</v>
      </c>
      <c r="K75" s="2"/>
      <c r="L75" t="str">
        <f>IF(COUNTIF(iCIMS_Export!M:M,A75)&gt;0,"Yes","No")</f>
        <v>No</v>
      </c>
      <c r="M75" t="str">
        <f>_xlfn.XLOOKUP(A75,iCIMS_Export!$M$2:$M$57,iCIMS_Export!$A$2:$A$57,"")</f>
        <v/>
      </c>
      <c r="N75" t="str">
        <f>IF(J75="Approved",Dashboard!$B$2-K75,"")</f>
        <v/>
      </c>
      <c r="O75" t="str">
        <f t="shared" si="3"/>
        <v/>
      </c>
      <c r="P75">
        <f t="shared" si="4"/>
        <v>1</v>
      </c>
      <c r="Q75" t="str">
        <f t="shared" si="5"/>
        <v/>
      </c>
    </row>
    <row r="76" spans="1:17">
      <c r="A76" s="2" t="s">
        <v>221</v>
      </c>
      <c r="B76" s="3">
        <v>46283</v>
      </c>
      <c r="C76" s="2" t="s">
        <v>137</v>
      </c>
      <c r="D76" s="2" t="s">
        <v>100</v>
      </c>
      <c r="E76" s="2" t="s">
        <v>138</v>
      </c>
      <c r="F76" s="2" t="s">
        <v>88</v>
      </c>
      <c r="G76" s="2" t="s">
        <v>77</v>
      </c>
      <c r="H76" s="2" t="s">
        <v>93</v>
      </c>
      <c r="I76" s="3">
        <v>46358</v>
      </c>
      <c r="J76" s="2" t="s">
        <v>34</v>
      </c>
      <c r="K76" s="3">
        <v>46290</v>
      </c>
      <c r="L76" t="str">
        <f>IF(COUNTIF(iCIMS_Export!M:M,A76)&gt;0,"Yes","No")</f>
        <v>No</v>
      </c>
      <c r="M76" t="str">
        <f>_xlfn.XLOOKUP(A76,iCIMS_Export!$M$2:$M$57,iCIMS_Export!$A$2:$A$57,"")</f>
        <v/>
      </c>
      <c r="N76">
        <f>IF(J76="Approved",Dashboard!$B$2-K76,"")</f>
        <v>5</v>
      </c>
      <c r="O76" t="str">
        <f t="shared" si="3"/>
        <v>Recent</v>
      </c>
      <c r="P76">
        <f t="shared" si="4"/>
        <v>1</v>
      </c>
      <c r="Q76">
        <f t="shared" si="5"/>
        <v>7</v>
      </c>
    </row>
    <row r="77" spans="1:17">
      <c r="A77" s="2" t="s">
        <v>222</v>
      </c>
      <c r="B77" s="3">
        <v>46287</v>
      </c>
      <c r="C77" s="2" t="s">
        <v>132</v>
      </c>
      <c r="D77" s="2" t="s">
        <v>133</v>
      </c>
      <c r="E77" s="2" t="s">
        <v>146</v>
      </c>
      <c r="F77" s="2" t="s">
        <v>76</v>
      </c>
      <c r="G77" s="2" t="s">
        <v>77</v>
      </c>
      <c r="H77" s="2" t="s">
        <v>93</v>
      </c>
      <c r="I77" s="3">
        <v>46336</v>
      </c>
      <c r="J77" s="2" t="s">
        <v>212</v>
      </c>
      <c r="K77" s="2"/>
      <c r="L77" t="str">
        <f>IF(COUNTIF(iCIMS_Export!M:M,A77)&gt;0,"Yes","No")</f>
        <v>No</v>
      </c>
      <c r="M77" t="str">
        <f>_xlfn.XLOOKUP(A77,iCIMS_Export!$M$2:$M$57,iCIMS_Export!$A$2:$A$57,"")</f>
        <v/>
      </c>
      <c r="N77" t="str">
        <f>IF(J77="Approved",Dashboard!$B$2-K77,"")</f>
        <v/>
      </c>
      <c r="O77" t="str">
        <f t="shared" si="3"/>
        <v/>
      </c>
      <c r="P77">
        <f t="shared" si="4"/>
        <v>1</v>
      </c>
      <c r="Q77" t="str">
        <f t="shared" si="5"/>
        <v/>
      </c>
    </row>
    <row r="78" spans="1:17">
      <c r="A78" s="2" t="s">
        <v>223</v>
      </c>
      <c r="B78" s="3">
        <v>46287</v>
      </c>
      <c r="C78" s="2" t="s">
        <v>110</v>
      </c>
      <c r="D78" s="2" t="s">
        <v>96</v>
      </c>
      <c r="E78" s="2" t="s">
        <v>97</v>
      </c>
      <c r="F78" s="2" t="s">
        <v>76</v>
      </c>
      <c r="G78" s="2" t="s">
        <v>77</v>
      </c>
      <c r="H78" s="2" t="s">
        <v>83</v>
      </c>
      <c r="I78" s="3">
        <v>46342</v>
      </c>
      <c r="J78" s="2" t="s">
        <v>212</v>
      </c>
      <c r="K78" s="2"/>
      <c r="L78" t="str">
        <f>IF(COUNTIF(iCIMS_Export!M:M,A78)&gt;0,"Yes","No")</f>
        <v>No</v>
      </c>
      <c r="M78" t="str">
        <f>_xlfn.XLOOKUP(A78,iCIMS_Export!$M$2:$M$57,iCIMS_Export!$A$2:$A$57,"")</f>
        <v/>
      </c>
      <c r="N78" t="str">
        <f>IF(J78="Approved",Dashboard!$B$2-K78,"")</f>
        <v/>
      </c>
      <c r="O78" t="str">
        <f t="shared" si="3"/>
        <v/>
      </c>
      <c r="P78">
        <f t="shared" si="4"/>
        <v>1</v>
      </c>
      <c r="Q78" t="str">
        <f t="shared" si="5"/>
        <v/>
      </c>
    </row>
    <row r="79" spans="1:17">
      <c r="A79" s="2" t="s">
        <v>224</v>
      </c>
      <c r="B79" s="3">
        <v>46288</v>
      </c>
      <c r="C79" s="2" t="s">
        <v>103</v>
      </c>
      <c r="D79" s="2" t="s">
        <v>104</v>
      </c>
      <c r="E79" s="2" t="s">
        <v>117</v>
      </c>
      <c r="F79" s="2" t="s">
        <v>76</v>
      </c>
      <c r="G79" s="2" t="s">
        <v>77</v>
      </c>
      <c r="H79" s="2" t="s">
        <v>93</v>
      </c>
      <c r="I79" s="3">
        <v>46342</v>
      </c>
      <c r="J79" s="2" t="s">
        <v>212</v>
      </c>
      <c r="K79" s="2"/>
      <c r="L79" t="str">
        <f>IF(COUNTIF(iCIMS_Export!M:M,A79)&gt;0,"Yes","No")</f>
        <v>No</v>
      </c>
      <c r="M79" t="str">
        <f>_xlfn.XLOOKUP(A79,iCIMS_Export!$M$2:$M$57,iCIMS_Export!$A$2:$A$57,"")</f>
        <v/>
      </c>
      <c r="N79" t="str">
        <f>IF(J79="Approved",Dashboard!$B$2-K79,"")</f>
        <v/>
      </c>
      <c r="O79" t="str">
        <f t="shared" si="3"/>
        <v/>
      </c>
      <c r="P79">
        <f t="shared" si="4"/>
        <v>1</v>
      </c>
      <c r="Q79" t="str">
        <f t="shared" si="5"/>
        <v/>
      </c>
    </row>
    <row r="80" spans="1:17">
      <c r="A80" s="2" t="s">
        <v>225</v>
      </c>
      <c r="B80" s="3">
        <v>46289</v>
      </c>
      <c r="C80" s="2" t="s">
        <v>107</v>
      </c>
      <c r="D80" s="2" t="s">
        <v>86</v>
      </c>
      <c r="E80" s="2" t="s">
        <v>177</v>
      </c>
      <c r="F80" s="2" t="s">
        <v>88</v>
      </c>
      <c r="G80" s="2" t="s">
        <v>77</v>
      </c>
      <c r="H80" s="2" t="s">
        <v>93</v>
      </c>
      <c r="I80" s="3">
        <v>46335</v>
      </c>
      <c r="J80" s="2" t="s">
        <v>212</v>
      </c>
      <c r="K80" s="2"/>
      <c r="L80" t="str">
        <f>IF(COUNTIF(iCIMS_Export!M:M,A80)&gt;0,"Yes","No")</f>
        <v>No</v>
      </c>
      <c r="M80" t="str">
        <f>_xlfn.XLOOKUP(A80,iCIMS_Export!$M$2:$M$57,iCIMS_Export!$A$2:$A$57,"")</f>
        <v/>
      </c>
      <c r="N80" t="str">
        <f>IF(J80="Approved",Dashboard!$B$2-K80,"")</f>
        <v/>
      </c>
      <c r="O80" t="str">
        <f t="shared" si="3"/>
        <v/>
      </c>
      <c r="P80">
        <f t="shared" si="4"/>
        <v>1</v>
      </c>
      <c r="Q80" t="str">
        <f t="shared" si="5"/>
        <v/>
      </c>
    </row>
    <row r="81" spans="1:17">
      <c r="A81" s="2" t="s">
        <v>226</v>
      </c>
      <c r="B81" s="3">
        <v>46290</v>
      </c>
      <c r="C81" s="2" t="s">
        <v>103</v>
      </c>
      <c r="D81" s="2" t="s">
        <v>104</v>
      </c>
      <c r="E81" s="2" t="s">
        <v>105</v>
      </c>
      <c r="F81" s="2" t="s">
        <v>88</v>
      </c>
      <c r="G81" s="2" t="s">
        <v>77</v>
      </c>
      <c r="H81" s="2" t="s">
        <v>83</v>
      </c>
      <c r="I81" s="3">
        <v>46370</v>
      </c>
      <c r="J81" s="2" t="s">
        <v>212</v>
      </c>
      <c r="K81" s="2"/>
      <c r="L81" t="str">
        <f>IF(COUNTIF(iCIMS_Export!M:M,A81)&gt;0,"Yes","No")</f>
        <v>No</v>
      </c>
      <c r="M81" t="str">
        <f>_xlfn.XLOOKUP(A81,iCIMS_Export!$M$2:$M$57,iCIMS_Export!$A$2:$A$57,"")</f>
        <v/>
      </c>
      <c r="N81" t="str">
        <f>IF(J81="Approved",Dashboard!$B$2-K81,"")</f>
        <v/>
      </c>
      <c r="O81" t="str">
        <f t="shared" si="3"/>
        <v/>
      </c>
      <c r="P81">
        <f t="shared" si="4"/>
        <v>1</v>
      </c>
      <c r="Q81" t="str">
        <f t="shared" si="5"/>
        <v/>
      </c>
    </row>
    <row r="82" spans="1:17">
      <c r="A82" s="2" t="s">
        <v>227</v>
      </c>
      <c r="B82" s="3">
        <v>46293</v>
      </c>
      <c r="C82" s="2" t="s">
        <v>167</v>
      </c>
      <c r="D82" s="2" t="s">
        <v>81</v>
      </c>
      <c r="E82" s="2" t="s">
        <v>190</v>
      </c>
      <c r="F82" s="2" t="s">
        <v>76</v>
      </c>
      <c r="G82" s="2" t="s">
        <v>77</v>
      </c>
      <c r="H82" s="2" t="s">
        <v>93</v>
      </c>
      <c r="I82" s="3">
        <v>46370</v>
      </c>
      <c r="J82" s="2" t="s">
        <v>212</v>
      </c>
      <c r="K82" s="2"/>
      <c r="L82" t="str">
        <f>IF(COUNTIF(iCIMS_Export!M:M,A82)&gt;0,"Yes","No")</f>
        <v>No</v>
      </c>
      <c r="M82" t="str">
        <f>_xlfn.XLOOKUP(A82,iCIMS_Export!$M$2:$M$57,iCIMS_Export!$A$2:$A$57,"")</f>
        <v/>
      </c>
      <c r="N82" t="str">
        <f>IF(J82="Approved",Dashboard!$B$2-K82,"")</f>
        <v/>
      </c>
      <c r="O82" t="str">
        <f t="shared" si="3"/>
        <v/>
      </c>
      <c r="P82">
        <f t="shared" si="4"/>
        <v>1</v>
      </c>
      <c r="Q82" t="str">
        <f t="shared" si="5"/>
        <v/>
      </c>
    </row>
  </sheetData>
  <autoFilter ref="P1:P82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7"/>
  <sheetViews>
    <sheetView workbookViewId="0">
      <pane ySplit="1" topLeftCell="B2" activePane="bottomLeft" state="frozen"/>
      <selection pane="bottomLeft" activeCell="G1" sqref="G1"/>
    </sheetView>
  </sheetViews>
  <sheetFormatPr defaultRowHeight="14.45"/>
  <cols>
    <col min="1" max="1" width="13" customWidth="1"/>
    <col min="2" max="2" width="24" customWidth="1"/>
    <col min="3" max="3" width="18" customWidth="1"/>
    <col min="4" max="5" width="13" customWidth="1"/>
    <col min="6" max="6" width="12" customWidth="1"/>
    <col min="7" max="7" width="13.85546875" customWidth="1"/>
  </cols>
  <sheetData>
    <row r="1" spans="1:7" ht="15">
      <c r="A1" s="1" t="s">
        <v>55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4" t="s">
        <v>233</v>
      </c>
    </row>
    <row r="2" spans="1:7">
      <c r="A2" s="2" t="s">
        <v>72</v>
      </c>
      <c r="B2" s="2" t="s">
        <v>234</v>
      </c>
      <c r="C2" s="2" t="s">
        <v>235</v>
      </c>
      <c r="D2" s="3">
        <v>46027</v>
      </c>
      <c r="E2" s="3">
        <v>46029</v>
      </c>
      <c r="F2" s="2" t="s">
        <v>34</v>
      </c>
      <c r="G2">
        <f>IF(F2="Pending",Dashboard!$B$2-D2,E2-D2)</f>
        <v>2</v>
      </c>
    </row>
    <row r="3" spans="1:7">
      <c r="A3" s="2" t="s">
        <v>72</v>
      </c>
      <c r="B3" s="2" t="s">
        <v>236</v>
      </c>
      <c r="C3" s="2" t="s">
        <v>237</v>
      </c>
      <c r="D3" s="3">
        <v>46029</v>
      </c>
      <c r="E3" s="3">
        <v>46044</v>
      </c>
      <c r="F3" s="2" t="s">
        <v>34</v>
      </c>
      <c r="G3">
        <f>IF(F3="Pending",Dashboard!$B$2-D3,E3-D3)</f>
        <v>15</v>
      </c>
    </row>
    <row r="4" spans="1:7">
      <c r="A4" s="2" t="s">
        <v>72</v>
      </c>
      <c r="B4" s="2" t="s">
        <v>238</v>
      </c>
      <c r="C4" s="2" t="s">
        <v>239</v>
      </c>
      <c r="D4" s="3">
        <v>46044</v>
      </c>
      <c r="E4" s="3">
        <v>46048</v>
      </c>
      <c r="F4" s="2" t="s">
        <v>34</v>
      </c>
      <c r="G4">
        <f>IF(F4="Pending",Dashboard!$B$2-D4,E4-D4)</f>
        <v>4</v>
      </c>
    </row>
    <row r="5" spans="1:7">
      <c r="A5" s="2" t="s">
        <v>79</v>
      </c>
      <c r="B5" s="2" t="s">
        <v>234</v>
      </c>
      <c r="C5" s="2" t="s">
        <v>240</v>
      </c>
      <c r="D5" s="3">
        <v>46030</v>
      </c>
      <c r="E5" s="3">
        <v>46030</v>
      </c>
      <c r="F5" s="2" t="s">
        <v>34</v>
      </c>
      <c r="G5">
        <f>IF(F5="Pending",Dashboard!$B$2-D5,E5-D5)</f>
        <v>0</v>
      </c>
    </row>
    <row r="6" spans="1:7">
      <c r="A6" s="2" t="s">
        <v>79</v>
      </c>
      <c r="B6" s="2" t="s">
        <v>236</v>
      </c>
      <c r="C6" s="2" t="s">
        <v>237</v>
      </c>
      <c r="D6" s="3">
        <v>46030</v>
      </c>
      <c r="E6" s="3">
        <v>46042</v>
      </c>
      <c r="F6" s="2" t="s">
        <v>34</v>
      </c>
      <c r="G6">
        <f>IF(F6="Pending",Dashboard!$B$2-D6,E6-D6)</f>
        <v>12</v>
      </c>
    </row>
    <row r="7" spans="1:7">
      <c r="A7" s="2" t="s">
        <v>79</v>
      </c>
      <c r="B7" s="2" t="s">
        <v>238</v>
      </c>
      <c r="C7" s="2" t="s">
        <v>241</v>
      </c>
      <c r="D7" s="3">
        <v>46042</v>
      </c>
      <c r="E7" s="3">
        <v>46043</v>
      </c>
      <c r="F7" s="2" t="s">
        <v>34</v>
      </c>
      <c r="G7">
        <f>IF(F7="Pending",Dashboard!$B$2-D7,E7-D7)</f>
        <v>1</v>
      </c>
    </row>
    <row r="8" spans="1:7">
      <c r="A8" s="2" t="s">
        <v>84</v>
      </c>
      <c r="B8" s="2" t="s">
        <v>234</v>
      </c>
      <c r="C8" s="2" t="s">
        <v>242</v>
      </c>
      <c r="D8" s="3">
        <v>46035</v>
      </c>
      <c r="E8" s="3">
        <v>46037</v>
      </c>
      <c r="F8" s="2" t="s">
        <v>34</v>
      </c>
      <c r="G8">
        <f>IF(F8="Pending",Dashboard!$B$2-D8,E8-D8)</f>
        <v>2</v>
      </c>
    </row>
    <row r="9" spans="1:7">
      <c r="A9" s="2" t="s">
        <v>84</v>
      </c>
      <c r="B9" s="2" t="s">
        <v>236</v>
      </c>
      <c r="C9" s="2" t="s">
        <v>243</v>
      </c>
      <c r="D9" s="3">
        <v>46037</v>
      </c>
      <c r="E9" s="3">
        <v>46041</v>
      </c>
      <c r="F9" s="2" t="s">
        <v>34</v>
      </c>
      <c r="G9">
        <f>IF(F9="Pending",Dashboard!$B$2-D9,E9-D9)</f>
        <v>4</v>
      </c>
    </row>
    <row r="10" spans="1:7">
      <c r="A10" s="2" t="s">
        <v>84</v>
      </c>
      <c r="B10" s="2" t="s">
        <v>238</v>
      </c>
      <c r="C10" s="2" t="s">
        <v>244</v>
      </c>
      <c r="D10" s="3">
        <v>46041</v>
      </c>
      <c r="E10" s="3">
        <v>46045</v>
      </c>
      <c r="F10" s="2" t="s">
        <v>34</v>
      </c>
      <c r="G10">
        <f>IF(F10="Pending",Dashboard!$B$2-D10,E10-D10)</f>
        <v>4</v>
      </c>
    </row>
    <row r="11" spans="1:7">
      <c r="A11" s="2" t="s">
        <v>90</v>
      </c>
      <c r="B11" s="2" t="s">
        <v>234</v>
      </c>
      <c r="C11" s="2" t="s">
        <v>242</v>
      </c>
      <c r="D11" s="3">
        <v>46037</v>
      </c>
      <c r="E11" s="3">
        <v>46041</v>
      </c>
      <c r="F11" s="2" t="s">
        <v>34</v>
      </c>
      <c r="G11">
        <f>IF(F11="Pending",Dashboard!$B$2-D11,E11-D11)</f>
        <v>4</v>
      </c>
    </row>
    <row r="12" spans="1:7">
      <c r="A12" s="2" t="s">
        <v>90</v>
      </c>
      <c r="B12" s="2" t="s">
        <v>236</v>
      </c>
      <c r="C12" s="2" t="s">
        <v>243</v>
      </c>
      <c r="D12" s="3">
        <v>46041</v>
      </c>
      <c r="E12" s="3">
        <v>46044</v>
      </c>
      <c r="F12" s="2" t="s">
        <v>34</v>
      </c>
      <c r="G12">
        <f>IF(F12="Pending",Dashboard!$B$2-D12,E12-D12)</f>
        <v>3</v>
      </c>
    </row>
    <row r="13" spans="1:7">
      <c r="A13" s="2" t="s">
        <v>90</v>
      </c>
      <c r="B13" s="2" t="s">
        <v>238</v>
      </c>
      <c r="C13" s="2" t="s">
        <v>244</v>
      </c>
      <c r="D13" s="3">
        <v>46044</v>
      </c>
      <c r="E13" s="3">
        <v>46048</v>
      </c>
      <c r="F13" s="2" t="s">
        <v>34</v>
      </c>
      <c r="G13">
        <f>IF(F13="Pending",Dashboard!$B$2-D13,E13-D13)</f>
        <v>4</v>
      </c>
    </row>
    <row r="14" spans="1:7">
      <c r="A14" s="2" t="s">
        <v>94</v>
      </c>
      <c r="B14" s="2" t="s">
        <v>234</v>
      </c>
      <c r="C14" s="2" t="s">
        <v>245</v>
      </c>
      <c r="D14" s="3">
        <v>46038</v>
      </c>
      <c r="E14" s="3">
        <v>46041</v>
      </c>
      <c r="F14" s="2" t="s">
        <v>34</v>
      </c>
      <c r="G14">
        <f>IF(F14="Pending",Dashboard!$B$2-D14,E14-D14)</f>
        <v>3</v>
      </c>
    </row>
    <row r="15" spans="1:7">
      <c r="A15" s="2" t="s">
        <v>94</v>
      </c>
      <c r="B15" s="2" t="s">
        <v>236</v>
      </c>
      <c r="C15" s="2" t="s">
        <v>243</v>
      </c>
      <c r="D15" s="3">
        <v>46041</v>
      </c>
      <c r="E15" s="3">
        <v>46043</v>
      </c>
      <c r="F15" s="2" t="s">
        <v>34</v>
      </c>
      <c r="G15">
        <f>IF(F15="Pending",Dashboard!$B$2-D15,E15-D15)</f>
        <v>2</v>
      </c>
    </row>
    <row r="16" spans="1:7">
      <c r="A16" s="2" t="s">
        <v>94</v>
      </c>
      <c r="B16" s="2" t="s">
        <v>238</v>
      </c>
      <c r="C16" s="2" t="s">
        <v>244</v>
      </c>
      <c r="D16" s="3">
        <v>46043</v>
      </c>
      <c r="E16" s="3">
        <v>46048</v>
      </c>
      <c r="F16" s="2" t="s">
        <v>34</v>
      </c>
      <c r="G16">
        <f>IF(F16="Pending",Dashboard!$B$2-D16,E16-D16)</f>
        <v>5</v>
      </c>
    </row>
    <row r="17" spans="1:7">
      <c r="A17" s="2" t="s">
        <v>98</v>
      </c>
      <c r="B17" s="2" t="s">
        <v>234</v>
      </c>
      <c r="C17" s="2" t="s">
        <v>246</v>
      </c>
      <c r="D17" s="3">
        <v>46041</v>
      </c>
      <c r="E17" s="3">
        <v>46045</v>
      </c>
      <c r="F17" s="2" t="s">
        <v>34</v>
      </c>
      <c r="G17">
        <f>IF(F17="Pending",Dashboard!$B$2-D17,E17-D17)</f>
        <v>4</v>
      </c>
    </row>
    <row r="18" spans="1:7">
      <c r="A18" s="2" t="s">
        <v>98</v>
      </c>
      <c r="B18" s="2" t="s">
        <v>236</v>
      </c>
      <c r="C18" s="2" t="s">
        <v>243</v>
      </c>
      <c r="D18" s="3">
        <v>46045</v>
      </c>
      <c r="E18" s="3">
        <v>46051</v>
      </c>
      <c r="F18" s="2" t="s">
        <v>34</v>
      </c>
      <c r="G18">
        <f>IF(F18="Pending",Dashboard!$B$2-D18,E18-D18)</f>
        <v>6</v>
      </c>
    </row>
    <row r="19" spans="1:7">
      <c r="A19" s="2" t="s">
        <v>98</v>
      </c>
      <c r="B19" s="2" t="s">
        <v>238</v>
      </c>
      <c r="C19" s="2" t="s">
        <v>239</v>
      </c>
      <c r="D19" s="3">
        <v>46051</v>
      </c>
      <c r="E19" s="3">
        <v>46055</v>
      </c>
      <c r="F19" s="2" t="s">
        <v>34</v>
      </c>
      <c r="G19">
        <f>IF(F19="Pending",Dashboard!$B$2-D19,E19-D19)</f>
        <v>4</v>
      </c>
    </row>
    <row r="20" spans="1:7">
      <c r="A20" s="2" t="s">
        <v>102</v>
      </c>
      <c r="B20" s="2" t="s">
        <v>234</v>
      </c>
      <c r="C20" s="2" t="s">
        <v>247</v>
      </c>
      <c r="D20" s="3">
        <v>46042</v>
      </c>
      <c r="E20" s="3">
        <v>46045</v>
      </c>
      <c r="F20" s="2" t="s">
        <v>34</v>
      </c>
      <c r="G20">
        <f>IF(F20="Pending",Dashboard!$B$2-D20,E20-D20)</f>
        <v>3</v>
      </c>
    </row>
    <row r="21" spans="1:7">
      <c r="A21" s="2" t="s">
        <v>102</v>
      </c>
      <c r="B21" s="2" t="s">
        <v>236</v>
      </c>
      <c r="C21" s="2" t="s">
        <v>243</v>
      </c>
      <c r="D21" s="3">
        <v>46045</v>
      </c>
      <c r="E21" s="3">
        <v>46050</v>
      </c>
      <c r="F21" s="2" t="s">
        <v>34</v>
      </c>
      <c r="G21">
        <f>IF(F21="Pending",Dashboard!$B$2-D21,E21-D21)</f>
        <v>5</v>
      </c>
    </row>
    <row r="22" spans="1:7">
      <c r="A22" s="2" t="s">
        <v>102</v>
      </c>
      <c r="B22" s="2" t="s">
        <v>238</v>
      </c>
      <c r="C22" s="2" t="s">
        <v>241</v>
      </c>
      <c r="D22" s="3">
        <v>46050</v>
      </c>
      <c r="E22" s="3">
        <v>46055</v>
      </c>
      <c r="F22" s="2" t="s">
        <v>34</v>
      </c>
      <c r="G22">
        <f>IF(F22="Pending",Dashboard!$B$2-D22,E22-D22)</f>
        <v>5</v>
      </c>
    </row>
    <row r="23" spans="1:7">
      <c r="A23" s="2" t="s">
        <v>106</v>
      </c>
      <c r="B23" s="2" t="s">
        <v>234</v>
      </c>
      <c r="C23" s="2" t="s">
        <v>242</v>
      </c>
      <c r="D23" s="3">
        <v>46044</v>
      </c>
      <c r="E23" s="3">
        <v>46045</v>
      </c>
      <c r="F23" s="2" t="s">
        <v>34</v>
      </c>
      <c r="G23">
        <f>IF(F23="Pending",Dashboard!$B$2-D23,E23-D23)</f>
        <v>1</v>
      </c>
    </row>
    <row r="24" spans="1:7">
      <c r="A24" s="2" t="s">
        <v>106</v>
      </c>
      <c r="B24" s="2" t="s">
        <v>236</v>
      </c>
      <c r="C24" s="2" t="s">
        <v>237</v>
      </c>
      <c r="D24" s="3">
        <v>46045</v>
      </c>
      <c r="E24" s="3">
        <v>46050</v>
      </c>
      <c r="F24" s="2" t="s">
        <v>34</v>
      </c>
      <c r="G24">
        <f>IF(F24="Pending",Dashboard!$B$2-D24,E24-D24)</f>
        <v>5</v>
      </c>
    </row>
    <row r="25" spans="1:7">
      <c r="A25" s="2" t="s">
        <v>106</v>
      </c>
      <c r="B25" s="2" t="s">
        <v>238</v>
      </c>
      <c r="C25" s="2" t="s">
        <v>244</v>
      </c>
      <c r="D25" s="3">
        <v>46050</v>
      </c>
      <c r="E25" s="3">
        <v>46052</v>
      </c>
      <c r="F25" s="2" t="s">
        <v>34</v>
      </c>
      <c r="G25">
        <f>IF(F25="Pending",Dashboard!$B$2-D25,E25-D25)</f>
        <v>2</v>
      </c>
    </row>
    <row r="26" spans="1:7">
      <c r="A26" s="2" t="s">
        <v>108</v>
      </c>
      <c r="B26" s="2" t="s">
        <v>234</v>
      </c>
      <c r="C26" s="2" t="s">
        <v>242</v>
      </c>
      <c r="D26" s="3">
        <v>46049</v>
      </c>
      <c r="E26" s="3">
        <v>46051</v>
      </c>
      <c r="F26" s="2" t="s">
        <v>34</v>
      </c>
      <c r="G26">
        <f>IF(F26="Pending",Dashboard!$B$2-D26,E26-D26)</f>
        <v>2</v>
      </c>
    </row>
    <row r="27" spans="1:7">
      <c r="A27" s="2" t="s">
        <v>108</v>
      </c>
      <c r="B27" s="2" t="s">
        <v>236</v>
      </c>
      <c r="C27" s="2" t="s">
        <v>237</v>
      </c>
      <c r="D27" s="3">
        <v>46051</v>
      </c>
      <c r="E27" s="3">
        <v>46069</v>
      </c>
      <c r="F27" s="2" t="s">
        <v>34</v>
      </c>
      <c r="G27">
        <f>IF(F27="Pending",Dashboard!$B$2-D27,E27-D27)</f>
        <v>18</v>
      </c>
    </row>
    <row r="28" spans="1:7">
      <c r="A28" s="2" t="s">
        <v>108</v>
      </c>
      <c r="B28" s="2" t="s">
        <v>238</v>
      </c>
      <c r="C28" s="2" t="s">
        <v>244</v>
      </c>
      <c r="D28" s="3">
        <v>46069</v>
      </c>
      <c r="E28" s="3">
        <v>46070</v>
      </c>
      <c r="F28" s="2" t="s">
        <v>34</v>
      </c>
      <c r="G28">
        <f>IF(F28="Pending",Dashboard!$B$2-D28,E28-D28)</f>
        <v>1</v>
      </c>
    </row>
    <row r="29" spans="1:7">
      <c r="A29" s="2" t="s">
        <v>109</v>
      </c>
      <c r="B29" s="2" t="s">
        <v>234</v>
      </c>
      <c r="C29" s="2" t="s">
        <v>245</v>
      </c>
      <c r="D29" s="3">
        <v>46056</v>
      </c>
      <c r="E29" s="3">
        <v>46059</v>
      </c>
      <c r="F29" s="2" t="s">
        <v>34</v>
      </c>
      <c r="G29">
        <f>IF(F29="Pending",Dashboard!$B$2-D29,E29-D29)</f>
        <v>3</v>
      </c>
    </row>
    <row r="30" spans="1:7">
      <c r="A30" s="2" t="s">
        <v>109</v>
      </c>
      <c r="B30" s="2" t="s">
        <v>236</v>
      </c>
      <c r="C30" s="2" t="s">
        <v>243</v>
      </c>
      <c r="D30" s="3">
        <v>46059</v>
      </c>
      <c r="E30" s="3">
        <v>46071</v>
      </c>
      <c r="F30" s="2" t="s">
        <v>34</v>
      </c>
      <c r="G30">
        <f>IF(F30="Pending",Dashboard!$B$2-D30,E30-D30)</f>
        <v>12</v>
      </c>
    </row>
    <row r="31" spans="1:7">
      <c r="A31" s="2" t="s">
        <v>109</v>
      </c>
      <c r="B31" s="2" t="s">
        <v>238</v>
      </c>
      <c r="C31" s="2" t="s">
        <v>244</v>
      </c>
      <c r="D31" s="3">
        <v>46071</v>
      </c>
      <c r="E31" s="3">
        <v>46076</v>
      </c>
      <c r="F31" s="2" t="s">
        <v>34</v>
      </c>
      <c r="G31">
        <f>IF(F31="Pending",Dashboard!$B$2-D31,E31-D31)</f>
        <v>5</v>
      </c>
    </row>
    <row r="32" spans="1:7">
      <c r="A32" s="2" t="s">
        <v>112</v>
      </c>
      <c r="B32" s="2" t="s">
        <v>234</v>
      </c>
      <c r="C32" s="2" t="s">
        <v>248</v>
      </c>
      <c r="D32" s="3">
        <v>46064</v>
      </c>
      <c r="E32" s="3">
        <v>46065</v>
      </c>
      <c r="F32" s="2" t="s">
        <v>34</v>
      </c>
      <c r="G32">
        <f>IF(F32="Pending",Dashboard!$B$2-D32,E32-D32)</f>
        <v>1</v>
      </c>
    </row>
    <row r="33" spans="1:7">
      <c r="A33" s="2" t="s">
        <v>112</v>
      </c>
      <c r="B33" s="2" t="s">
        <v>236</v>
      </c>
      <c r="C33" s="2" t="s">
        <v>243</v>
      </c>
      <c r="D33" s="3">
        <v>46065</v>
      </c>
      <c r="E33" s="3">
        <v>46069</v>
      </c>
      <c r="F33" s="2" t="s">
        <v>34</v>
      </c>
      <c r="G33">
        <f>IF(F33="Pending",Dashboard!$B$2-D33,E33-D33)</f>
        <v>4</v>
      </c>
    </row>
    <row r="34" spans="1:7">
      <c r="A34" s="2" t="s">
        <v>112</v>
      </c>
      <c r="B34" s="2" t="s">
        <v>238</v>
      </c>
      <c r="C34" s="2" t="s">
        <v>244</v>
      </c>
      <c r="D34" s="3">
        <v>46069</v>
      </c>
      <c r="E34" s="3">
        <v>46073</v>
      </c>
      <c r="F34" s="2" t="s">
        <v>34</v>
      </c>
      <c r="G34">
        <f>IF(F34="Pending",Dashboard!$B$2-D34,E34-D34)</f>
        <v>4</v>
      </c>
    </row>
    <row r="35" spans="1:7">
      <c r="A35" s="2" t="s">
        <v>116</v>
      </c>
      <c r="B35" s="2" t="s">
        <v>234</v>
      </c>
      <c r="C35" s="2" t="s">
        <v>247</v>
      </c>
      <c r="D35" s="3">
        <v>46076</v>
      </c>
      <c r="E35" s="3">
        <v>46078</v>
      </c>
      <c r="F35" s="2" t="s">
        <v>34</v>
      </c>
      <c r="G35">
        <f>IF(F35="Pending",Dashboard!$B$2-D35,E35-D35)</f>
        <v>2</v>
      </c>
    </row>
    <row r="36" spans="1:7">
      <c r="A36" s="2" t="s">
        <v>116</v>
      </c>
      <c r="B36" s="2" t="s">
        <v>236</v>
      </c>
      <c r="C36" s="2" t="s">
        <v>243</v>
      </c>
      <c r="D36" s="3">
        <v>46078</v>
      </c>
      <c r="E36" s="3">
        <v>46083</v>
      </c>
      <c r="F36" s="2" t="s">
        <v>34</v>
      </c>
      <c r="G36">
        <f>IF(F36="Pending",Dashboard!$B$2-D36,E36-D36)</f>
        <v>5</v>
      </c>
    </row>
    <row r="37" spans="1:7">
      <c r="A37" s="2" t="s">
        <v>116</v>
      </c>
      <c r="B37" s="2" t="s">
        <v>238</v>
      </c>
      <c r="C37" s="2" t="s">
        <v>241</v>
      </c>
      <c r="D37" s="3">
        <v>46083</v>
      </c>
      <c r="E37" s="3">
        <v>46084</v>
      </c>
      <c r="F37" s="2" t="s">
        <v>34</v>
      </c>
      <c r="G37">
        <f>IF(F37="Pending",Dashboard!$B$2-D37,E37-D37)</f>
        <v>1</v>
      </c>
    </row>
    <row r="38" spans="1:7">
      <c r="A38" s="2" t="s">
        <v>118</v>
      </c>
      <c r="B38" s="2" t="s">
        <v>234</v>
      </c>
      <c r="C38" s="2" t="s">
        <v>235</v>
      </c>
      <c r="D38" s="3">
        <v>46078</v>
      </c>
      <c r="E38" s="3">
        <v>46080</v>
      </c>
      <c r="F38" s="2" t="s">
        <v>34</v>
      </c>
      <c r="G38">
        <f>IF(F38="Pending",Dashboard!$B$2-D38,E38-D38)</f>
        <v>2</v>
      </c>
    </row>
    <row r="39" spans="1:7">
      <c r="A39" s="2" t="s">
        <v>118</v>
      </c>
      <c r="B39" s="2" t="s">
        <v>236</v>
      </c>
      <c r="C39" s="2" t="s">
        <v>243</v>
      </c>
      <c r="D39" s="3">
        <v>46080</v>
      </c>
      <c r="E39" s="3">
        <v>46090</v>
      </c>
      <c r="F39" s="2" t="s">
        <v>121</v>
      </c>
      <c r="G39">
        <f>IF(F39="Pending",Dashboard!$B$2-D39,E39-D39)</f>
        <v>10</v>
      </c>
    </row>
    <row r="40" spans="1:7">
      <c r="A40" s="2" t="s">
        <v>122</v>
      </c>
      <c r="B40" s="2" t="s">
        <v>234</v>
      </c>
      <c r="C40" s="2" t="s">
        <v>249</v>
      </c>
      <c r="D40" s="3">
        <v>46084</v>
      </c>
      <c r="E40" s="3">
        <v>46090</v>
      </c>
      <c r="F40" s="2" t="s">
        <v>34</v>
      </c>
      <c r="G40">
        <f>IF(F40="Pending",Dashboard!$B$2-D40,E40-D40)</f>
        <v>6</v>
      </c>
    </row>
    <row r="41" spans="1:7">
      <c r="A41" s="2" t="s">
        <v>122</v>
      </c>
      <c r="B41" s="2" t="s">
        <v>236</v>
      </c>
      <c r="C41" s="2" t="s">
        <v>237</v>
      </c>
      <c r="D41" s="3">
        <v>46090</v>
      </c>
      <c r="E41" s="3">
        <v>46094</v>
      </c>
      <c r="F41" s="2" t="s">
        <v>34</v>
      </c>
      <c r="G41">
        <f>IF(F41="Pending",Dashboard!$B$2-D41,E41-D41)</f>
        <v>4</v>
      </c>
    </row>
    <row r="42" spans="1:7">
      <c r="A42" s="2" t="s">
        <v>122</v>
      </c>
      <c r="B42" s="2" t="s">
        <v>238</v>
      </c>
      <c r="C42" s="2" t="s">
        <v>239</v>
      </c>
      <c r="D42" s="3">
        <v>46094</v>
      </c>
      <c r="E42" s="3">
        <v>46097</v>
      </c>
      <c r="F42" s="2" t="s">
        <v>34</v>
      </c>
      <c r="G42">
        <f>IF(F42="Pending",Dashboard!$B$2-D42,E42-D42)</f>
        <v>3</v>
      </c>
    </row>
    <row r="43" spans="1:7">
      <c r="A43" s="2" t="s">
        <v>126</v>
      </c>
      <c r="B43" s="2" t="s">
        <v>234</v>
      </c>
      <c r="C43" s="2" t="s">
        <v>250</v>
      </c>
      <c r="D43" s="3">
        <v>46084</v>
      </c>
      <c r="E43" s="3">
        <v>46086</v>
      </c>
      <c r="F43" s="2" t="s">
        <v>34</v>
      </c>
      <c r="G43">
        <f>IF(F43="Pending",Dashboard!$B$2-D43,E43-D43)</f>
        <v>2</v>
      </c>
    </row>
    <row r="44" spans="1:7">
      <c r="A44" s="2" t="s">
        <v>126</v>
      </c>
      <c r="B44" s="2" t="s">
        <v>236</v>
      </c>
      <c r="C44" s="2" t="s">
        <v>237</v>
      </c>
      <c r="D44" s="3">
        <v>46086</v>
      </c>
      <c r="E44" s="3">
        <v>46092</v>
      </c>
      <c r="F44" s="2" t="s">
        <v>34</v>
      </c>
      <c r="G44">
        <f>IF(F44="Pending",Dashboard!$B$2-D44,E44-D44)</f>
        <v>6</v>
      </c>
    </row>
    <row r="45" spans="1:7">
      <c r="A45" s="2" t="s">
        <v>126</v>
      </c>
      <c r="B45" s="2" t="s">
        <v>238</v>
      </c>
      <c r="C45" s="2" t="s">
        <v>241</v>
      </c>
      <c r="D45" s="3">
        <v>46092</v>
      </c>
      <c r="E45" s="3">
        <v>46094</v>
      </c>
      <c r="F45" s="2" t="s">
        <v>34</v>
      </c>
      <c r="G45">
        <f>IF(F45="Pending",Dashboard!$B$2-D45,E45-D45)</f>
        <v>2</v>
      </c>
    </row>
    <row r="46" spans="1:7">
      <c r="A46" s="2" t="s">
        <v>131</v>
      </c>
      <c r="B46" s="2" t="s">
        <v>234</v>
      </c>
      <c r="C46" s="2" t="s">
        <v>251</v>
      </c>
      <c r="D46" s="3">
        <v>46087</v>
      </c>
      <c r="E46" s="3">
        <v>46090</v>
      </c>
      <c r="F46" s="2" t="s">
        <v>34</v>
      </c>
      <c r="G46">
        <f>IF(F46="Pending",Dashboard!$B$2-D46,E46-D46)</f>
        <v>3</v>
      </c>
    </row>
    <row r="47" spans="1:7">
      <c r="A47" s="2" t="s">
        <v>131</v>
      </c>
      <c r="B47" s="2" t="s">
        <v>236</v>
      </c>
      <c r="C47" s="2" t="s">
        <v>237</v>
      </c>
      <c r="D47" s="3">
        <v>46090</v>
      </c>
      <c r="E47" s="3">
        <v>46097</v>
      </c>
      <c r="F47" s="2" t="s">
        <v>34</v>
      </c>
      <c r="G47">
        <f>IF(F47="Pending",Dashboard!$B$2-D47,E47-D47)</f>
        <v>7</v>
      </c>
    </row>
    <row r="48" spans="1:7">
      <c r="A48" s="2" t="s">
        <v>131</v>
      </c>
      <c r="B48" s="2" t="s">
        <v>238</v>
      </c>
      <c r="C48" s="2" t="s">
        <v>239</v>
      </c>
      <c r="D48" s="3">
        <v>46097</v>
      </c>
      <c r="E48" s="3">
        <v>46099</v>
      </c>
      <c r="F48" s="2" t="s">
        <v>34</v>
      </c>
      <c r="G48">
        <f>IF(F48="Pending",Dashboard!$B$2-D48,E48-D48)</f>
        <v>2</v>
      </c>
    </row>
    <row r="49" spans="1:7">
      <c r="A49" s="2" t="s">
        <v>136</v>
      </c>
      <c r="B49" s="2" t="s">
        <v>234</v>
      </c>
      <c r="C49" s="2" t="s">
        <v>246</v>
      </c>
      <c r="D49" s="3">
        <v>46094</v>
      </c>
      <c r="E49" s="3">
        <v>46097</v>
      </c>
      <c r="F49" s="2" t="s">
        <v>34</v>
      </c>
      <c r="G49">
        <f>IF(F49="Pending",Dashboard!$B$2-D49,E49-D49)</f>
        <v>3</v>
      </c>
    </row>
    <row r="50" spans="1:7">
      <c r="A50" s="2" t="s">
        <v>136</v>
      </c>
      <c r="B50" s="2" t="s">
        <v>236</v>
      </c>
      <c r="C50" s="2" t="s">
        <v>237</v>
      </c>
      <c r="D50" s="3">
        <v>46097</v>
      </c>
      <c r="E50" s="3">
        <v>46119</v>
      </c>
      <c r="F50" s="2" t="s">
        <v>34</v>
      </c>
      <c r="G50">
        <f>IF(F50="Pending",Dashboard!$B$2-D50,E50-D50)</f>
        <v>22</v>
      </c>
    </row>
    <row r="51" spans="1:7">
      <c r="A51" s="2" t="s">
        <v>136</v>
      </c>
      <c r="B51" s="2" t="s">
        <v>238</v>
      </c>
      <c r="C51" s="2" t="s">
        <v>239</v>
      </c>
      <c r="D51" s="3">
        <v>46119</v>
      </c>
      <c r="E51" s="3">
        <v>46121</v>
      </c>
      <c r="F51" s="2" t="s">
        <v>34</v>
      </c>
      <c r="G51">
        <f>IF(F51="Pending",Dashboard!$B$2-D51,E51-D51)</f>
        <v>2</v>
      </c>
    </row>
    <row r="52" spans="1:7">
      <c r="A52" s="2" t="s">
        <v>139</v>
      </c>
      <c r="B52" s="2" t="s">
        <v>234</v>
      </c>
      <c r="C52" s="2" t="s">
        <v>242</v>
      </c>
      <c r="D52" s="3">
        <v>46100</v>
      </c>
      <c r="E52" s="3">
        <v>46104</v>
      </c>
      <c r="F52" s="2" t="s">
        <v>141</v>
      </c>
      <c r="G52">
        <f>IF(F52="Pending",Dashboard!$B$2-D52,E52-D52)</f>
        <v>4</v>
      </c>
    </row>
    <row r="53" spans="1:7">
      <c r="A53" s="2" t="s">
        <v>142</v>
      </c>
      <c r="B53" s="2" t="s">
        <v>234</v>
      </c>
      <c r="C53" s="2" t="s">
        <v>242</v>
      </c>
      <c r="D53" s="3">
        <v>46107</v>
      </c>
      <c r="E53" s="3">
        <v>46108</v>
      </c>
      <c r="F53" s="2" t="s">
        <v>141</v>
      </c>
      <c r="G53">
        <f>IF(F53="Pending",Dashboard!$B$2-D53,E53-D53)</f>
        <v>1</v>
      </c>
    </row>
    <row r="54" spans="1:7">
      <c r="A54" s="2" t="s">
        <v>143</v>
      </c>
      <c r="B54" s="2" t="s">
        <v>234</v>
      </c>
      <c r="C54" s="2" t="s">
        <v>245</v>
      </c>
      <c r="D54" s="3">
        <v>46108</v>
      </c>
      <c r="E54" s="3">
        <v>46111</v>
      </c>
      <c r="F54" s="2" t="s">
        <v>34</v>
      </c>
      <c r="G54">
        <f>IF(F54="Pending",Dashboard!$B$2-D54,E54-D54)</f>
        <v>3</v>
      </c>
    </row>
    <row r="55" spans="1:7">
      <c r="A55" s="2" t="s">
        <v>143</v>
      </c>
      <c r="B55" s="2" t="s">
        <v>236</v>
      </c>
      <c r="C55" s="2" t="s">
        <v>243</v>
      </c>
      <c r="D55" s="3">
        <v>46111</v>
      </c>
      <c r="E55" s="3">
        <v>46114</v>
      </c>
      <c r="F55" s="2" t="s">
        <v>34</v>
      </c>
      <c r="G55">
        <f>IF(F55="Pending",Dashboard!$B$2-D55,E55-D55)</f>
        <v>3</v>
      </c>
    </row>
    <row r="56" spans="1:7">
      <c r="A56" s="2" t="s">
        <v>143</v>
      </c>
      <c r="B56" s="2" t="s">
        <v>238</v>
      </c>
      <c r="C56" s="2" t="s">
        <v>244</v>
      </c>
      <c r="D56" s="3">
        <v>46114</v>
      </c>
      <c r="E56" s="3">
        <v>46118</v>
      </c>
      <c r="F56" s="2" t="s">
        <v>34</v>
      </c>
      <c r="G56">
        <f>IF(F56="Pending",Dashboard!$B$2-D56,E56-D56)</f>
        <v>4</v>
      </c>
    </row>
    <row r="57" spans="1:7">
      <c r="A57" s="2" t="s">
        <v>144</v>
      </c>
      <c r="B57" s="2" t="s">
        <v>234</v>
      </c>
      <c r="C57" s="2" t="s">
        <v>251</v>
      </c>
      <c r="D57" s="3">
        <v>46112</v>
      </c>
      <c r="E57" s="3">
        <v>46118</v>
      </c>
      <c r="F57" s="2" t="s">
        <v>34</v>
      </c>
      <c r="G57">
        <f>IF(F57="Pending",Dashboard!$B$2-D57,E57-D57)</f>
        <v>6</v>
      </c>
    </row>
    <row r="58" spans="1:7">
      <c r="A58" s="2" t="s">
        <v>144</v>
      </c>
      <c r="B58" s="2" t="s">
        <v>236</v>
      </c>
      <c r="C58" s="2" t="s">
        <v>243</v>
      </c>
      <c r="D58" s="3">
        <v>46118</v>
      </c>
      <c r="E58" s="3">
        <v>46132</v>
      </c>
      <c r="F58" s="2" t="s">
        <v>34</v>
      </c>
      <c r="G58">
        <f>IF(F58="Pending",Dashboard!$B$2-D58,E58-D58)</f>
        <v>14</v>
      </c>
    </row>
    <row r="59" spans="1:7">
      <c r="A59" s="2" t="s">
        <v>144</v>
      </c>
      <c r="B59" s="2" t="s">
        <v>238</v>
      </c>
      <c r="C59" s="2" t="s">
        <v>239</v>
      </c>
      <c r="D59" s="3">
        <v>46132</v>
      </c>
      <c r="E59" s="3">
        <v>46133</v>
      </c>
      <c r="F59" s="2" t="s">
        <v>34</v>
      </c>
      <c r="G59">
        <f>IF(F59="Pending",Dashboard!$B$2-D59,E59-D59)</f>
        <v>1</v>
      </c>
    </row>
    <row r="60" spans="1:7">
      <c r="A60" s="2" t="s">
        <v>147</v>
      </c>
      <c r="B60" s="2" t="s">
        <v>234</v>
      </c>
      <c r="C60" s="2" t="s">
        <v>248</v>
      </c>
      <c r="D60" s="3">
        <v>46114</v>
      </c>
      <c r="E60" s="3">
        <v>46119</v>
      </c>
      <c r="F60" s="2" t="s">
        <v>34</v>
      </c>
      <c r="G60">
        <f>IF(F60="Pending",Dashboard!$B$2-D60,E60-D60)</f>
        <v>5</v>
      </c>
    </row>
    <row r="61" spans="1:7">
      <c r="A61" s="2" t="s">
        <v>147</v>
      </c>
      <c r="B61" s="2" t="s">
        <v>236</v>
      </c>
      <c r="C61" s="2" t="s">
        <v>237</v>
      </c>
      <c r="D61" s="3">
        <v>46119</v>
      </c>
      <c r="E61" s="3">
        <v>46125</v>
      </c>
      <c r="F61" s="2" t="s">
        <v>34</v>
      </c>
      <c r="G61">
        <f>IF(F61="Pending",Dashboard!$B$2-D61,E61-D61)</f>
        <v>6</v>
      </c>
    </row>
    <row r="62" spans="1:7">
      <c r="A62" s="2" t="s">
        <v>147</v>
      </c>
      <c r="B62" s="2" t="s">
        <v>238</v>
      </c>
      <c r="C62" s="2" t="s">
        <v>244</v>
      </c>
      <c r="D62" s="3">
        <v>46125</v>
      </c>
      <c r="E62" s="3">
        <v>46126</v>
      </c>
      <c r="F62" s="2" t="s">
        <v>34</v>
      </c>
      <c r="G62">
        <f>IF(F62="Pending",Dashboard!$B$2-D62,E62-D62)</f>
        <v>1</v>
      </c>
    </row>
    <row r="63" spans="1:7">
      <c r="A63" s="2" t="s">
        <v>149</v>
      </c>
      <c r="B63" s="2" t="s">
        <v>234</v>
      </c>
      <c r="C63" s="2" t="s">
        <v>249</v>
      </c>
      <c r="D63" s="3">
        <v>46115</v>
      </c>
      <c r="E63" s="3">
        <v>46115</v>
      </c>
      <c r="F63" s="2" t="s">
        <v>34</v>
      </c>
      <c r="G63">
        <f>IF(F63="Pending",Dashboard!$B$2-D63,E63-D63)</f>
        <v>0</v>
      </c>
    </row>
    <row r="64" spans="1:7">
      <c r="A64" s="2" t="s">
        <v>149</v>
      </c>
      <c r="B64" s="2" t="s">
        <v>236</v>
      </c>
      <c r="C64" s="2" t="s">
        <v>237</v>
      </c>
      <c r="D64" s="3">
        <v>46115</v>
      </c>
      <c r="E64" s="3">
        <v>46133</v>
      </c>
      <c r="F64" s="2" t="s">
        <v>34</v>
      </c>
      <c r="G64">
        <f>IF(F64="Pending",Dashboard!$B$2-D64,E64-D64)</f>
        <v>18</v>
      </c>
    </row>
    <row r="65" spans="1:7">
      <c r="A65" s="2" t="s">
        <v>149</v>
      </c>
      <c r="B65" s="2" t="s">
        <v>238</v>
      </c>
      <c r="C65" s="2" t="s">
        <v>239</v>
      </c>
      <c r="D65" s="3">
        <v>46133</v>
      </c>
      <c r="E65" s="3">
        <v>46136</v>
      </c>
      <c r="F65" s="2" t="s">
        <v>34</v>
      </c>
      <c r="G65">
        <f>IF(F65="Pending",Dashboard!$B$2-D65,E65-D65)</f>
        <v>3</v>
      </c>
    </row>
    <row r="66" spans="1:7">
      <c r="A66" s="2" t="s">
        <v>152</v>
      </c>
      <c r="B66" s="2" t="s">
        <v>234</v>
      </c>
      <c r="C66" s="2" t="s">
        <v>248</v>
      </c>
      <c r="D66" s="3">
        <v>46115</v>
      </c>
      <c r="E66" s="3">
        <v>46118</v>
      </c>
      <c r="F66" s="2" t="s">
        <v>34</v>
      </c>
      <c r="G66">
        <f>IF(F66="Pending",Dashboard!$B$2-D66,E66-D66)</f>
        <v>3</v>
      </c>
    </row>
    <row r="67" spans="1:7">
      <c r="A67" s="2" t="s">
        <v>152</v>
      </c>
      <c r="B67" s="2" t="s">
        <v>236</v>
      </c>
      <c r="C67" s="2" t="s">
        <v>237</v>
      </c>
      <c r="D67" s="3">
        <v>46118</v>
      </c>
      <c r="E67" s="3">
        <v>46121</v>
      </c>
      <c r="F67" s="2" t="s">
        <v>121</v>
      </c>
      <c r="G67">
        <f>IF(F67="Pending",Dashboard!$B$2-D67,E67-D67)</f>
        <v>3</v>
      </c>
    </row>
    <row r="68" spans="1:7">
      <c r="A68" s="2" t="s">
        <v>153</v>
      </c>
      <c r="B68" s="2" t="s">
        <v>234</v>
      </c>
      <c r="C68" s="2" t="s">
        <v>240</v>
      </c>
      <c r="D68" s="3">
        <v>46119</v>
      </c>
      <c r="E68" s="3">
        <v>46125</v>
      </c>
      <c r="F68" s="2" t="s">
        <v>34</v>
      </c>
      <c r="G68">
        <f>IF(F68="Pending",Dashboard!$B$2-D68,E68-D68)</f>
        <v>6</v>
      </c>
    </row>
    <row r="69" spans="1:7">
      <c r="A69" s="2" t="s">
        <v>153</v>
      </c>
      <c r="B69" s="2" t="s">
        <v>236</v>
      </c>
      <c r="C69" s="2" t="s">
        <v>237</v>
      </c>
      <c r="D69" s="3">
        <v>46125</v>
      </c>
      <c r="E69" s="3">
        <v>46146</v>
      </c>
      <c r="F69" s="2" t="s">
        <v>34</v>
      </c>
      <c r="G69">
        <f>IF(F69="Pending",Dashboard!$B$2-D69,E69-D69)</f>
        <v>21</v>
      </c>
    </row>
    <row r="70" spans="1:7">
      <c r="A70" s="2" t="s">
        <v>153</v>
      </c>
      <c r="B70" s="2" t="s">
        <v>238</v>
      </c>
      <c r="C70" s="2" t="s">
        <v>241</v>
      </c>
      <c r="D70" s="3">
        <v>46146</v>
      </c>
      <c r="E70" s="3">
        <v>46147</v>
      </c>
      <c r="F70" s="2" t="s">
        <v>34</v>
      </c>
      <c r="G70">
        <f>IF(F70="Pending",Dashboard!$B$2-D70,E70-D70)</f>
        <v>1</v>
      </c>
    </row>
    <row r="71" spans="1:7">
      <c r="A71" s="2" t="s">
        <v>155</v>
      </c>
      <c r="B71" s="2" t="s">
        <v>234</v>
      </c>
      <c r="C71" s="2" t="s">
        <v>240</v>
      </c>
      <c r="D71" s="3">
        <v>46127</v>
      </c>
      <c r="E71" s="3">
        <v>46129</v>
      </c>
      <c r="F71" s="2" t="s">
        <v>34</v>
      </c>
      <c r="G71">
        <f>IF(F71="Pending",Dashboard!$B$2-D71,E71-D71)</f>
        <v>2</v>
      </c>
    </row>
    <row r="72" spans="1:7">
      <c r="A72" s="2" t="s">
        <v>155</v>
      </c>
      <c r="B72" s="2" t="s">
        <v>236</v>
      </c>
      <c r="C72" s="2" t="s">
        <v>243</v>
      </c>
      <c r="D72" s="3">
        <v>46129</v>
      </c>
      <c r="E72" s="3">
        <v>46141</v>
      </c>
      <c r="F72" s="2" t="s">
        <v>34</v>
      </c>
      <c r="G72">
        <f>IF(F72="Pending",Dashboard!$B$2-D72,E72-D72)</f>
        <v>12</v>
      </c>
    </row>
    <row r="73" spans="1:7">
      <c r="A73" s="2" t="s">
        <v>155</v>
      </c>
      <c r="B73" s="2" t="s">
        <v>238</v>
      </c>
      <c r="C73" s="2" t="s">
        <v>241</v>
      </c>
      <c r="D73" s="3">
        <v>46141</v>
      </c>
      <c r="E73" s="3">
        <v>46142</v>
      </c>
      <c r="F73" s="2" t="s">
        <v>34</v>
      </c>
      <c r="G73">
        <f>IF(F73="Pending",Dashboard!$B$2-D73,E73-D73)</f>
        <v>1</v>
      </c>
    </row>
    <row r="74" spans="1:7">
      <c r="A74" s="2" t="s">
        <v>158</v>
      </c>
      <c r="B74" s="2" t="s">
        <v>234</v>
      </c>
      <c r="C74" s="2" t="s">
        <v>249</v>
      </c>
      <c r="D74" s="3">
        <v>46128</v>
      </c>
      <c r="E74" s="3">
        <v>46132</v>
      </c>
      <c r="F74" s="2" t="s">
        <v>34</v>
      </c>
      <c r="G74">
        <f>IF(F74="Pending",Dashboard!$B$2-D74,E74-D74)</f>
        <v>4</v>
      </c>
    </row>
    <row r="75" spans="1:7">
      <c r="A75" s="2" t="s">
        <v>158</v>
      </c>
      <c r="B75" s="2" t="s">
        <v>236</v>
      </c>
      <c r="C75" s="2" t="s">
        <v>243</v>
      </c>
      <c r="D75" s="3">
        <v>46132</v>
      </c>
      <c r="E75" s="3">
        <v>46139</v>
      </c>
      <c r="F75" s="2" t="s">
        <v>34</v>
      </c>
      <c r="G75">
        <f>IF(F75="Pending",Dashboard!$B$2-D75,E75-D75)</f>
        <v>7</v>
      </c>
    </row>
    <row r="76" spans="1:7">
      <c r="A76" s="2" t="s">
        <v>158</v>
      </c>
      <c r="B76" s="2" t="s">
        <v>238</v>
      </c>
      <c r="C76" s="2" t="s">
        <v>239</v>
      </c>
      <c r="D76" s="3">
        <v>46139</v>
      </c>
      <c r="E76" s="3">
        <v>46141</v>
      </c>
      <c r="F76" s="2" t="s">
        <v>34</v>
      </c>
      <c r="G76">
        <f>IF(F76="Pending",Dashboard!$B$2-D76,E76-D76)</f>
        <v>2</v>
      </c>
    </row>
    <row r="77" spans="1:7">
      <c r="A77" s="2" t="s">
        <v>159</v>
      </c>
      <c r="B77" s="2" t="s">
        <v>234</v>
      </c>
      <c r="C77" s="2" t="s">
        <v>235</v>
      </c>
      <c r="D77" s="3">
        <v>46132</v>
      </c>
      <c r="E77" s="3">
        <v>46135</v>
      </c>
      <c r="F77" s="2" t="s">
        <v>34</v>
      </c>
      <c r="G77">
        <f>IF(F77="Pending",Dashboard!$B$2-D77,E77-D77)</f>
        <v>3</v>
      </c>
    </row>
    <row r="78" spans="1:7">
      <c r="A78" s="2" t="s">
        <v>159</v>
      </c>
      <c r="B78" s="2" t="s">
        <v>236</v>
      </c>
      <c r="C78" s="2" t="s">
        <v>237</v>
      </c>
      <c r="D78" s="3">
        <v>46135</v>
      </c>
      <c r="E78" s="3">
        <v>46146</v>
      </c>
      <c r="F78" s="2" t="s">
        <v>34</v>
      </c>
      <c r="G78">
        <f>IF(F78="Pending",Dashboard!$B$2-D78,E78-D78)</f>
        <v>11</v>
      </c>
    </row>
    <row r="79" spans="1:7">
      <c r="A79" s="2" t="s">
        <v>159</v>
      </c>
      <c r="B79" s="2" t="s">
        <v>238</v>
      </c>
      <c r="C79" s="2" t="s">
        <v>239</v>
      </c>
      <c r="D79" s="3">
        <v>46146</v>
      </c>
      <c r="E79" s="3">
        <v>46148</v>
      </c>
      <c r="F79" s="2" t="s">
        <v>34</v>
      </c>
      <c r="G79">
        <f>IF(F79="Pending",Dashboard!$B$2-D79,E79-D79)</f>
        <v>2</v>
      </c>
    </row>
    <row r="80" spans="1:7">
      <c r="A80" s="2" t="s">
        <v>160</v>
      </c>
      <c r="B80" s="2" t="s">
        <v>234</v>
      </c>
      <c r="C80" s="2" t="s">
        <v>248</v>
      </c>
      <c r="D80" s="3">
        <v>46133</v>
      </c>
      <c r="E80" s="3">
        <v>46136</v>
      </c>
      <c r="F80" s="2" t="s">
        <v>34</v>
      </c>
      <c r="G80">
        <f>IF(F80="Pending",Dashboard!$B$2-D80,E80-D80)</f>
        <v>3</v>
      </c>
    </row>
    <row r="81" spans="1:7">
      <c r="A81" s="2" t="s">
        <v>160</v>
      </c>
      <c r="B81" s="2" t="s">
        <v>236</v>
      </c>
      <c r="C81" s="2" t="s">
        <v>243</v>
      </c>
      <c r="D81" s="3">
        <v>46136</v>
      </c>
      <c r="E81" s="3">
        <v>46141</v>
      </c>
      <c r="F81" s="2" t="s">
        <v>34</v>
      </c>
      <c r="G81">
        <f>IF(F81="Pending",Dashboard!$B$2-D81,E81-D81)</f>
        <v>5</v>
      </c>
    </row>
    <row r="82" spans="1:7">
      <c r="A82" s="2" t="s">
        <v>160</v>
      </c>
      <c r="B82" s="2" t="s">
        <v>238</v>
      </c>
      <c r="C82" s="2" t="s">
        <v>244</v>
      </c>
      <c r="D82" s="3">
        <v>46141</v>
      </c>
      <c r="E82" s="3">
        <v>46142</v>
      </c>
      <c r="F82" s="2" t="s">
        <v>34</v>
      </c>
      <c r="G82">
        <f>IF(F82="Pending",Dashboard!$B$2-D82,E82-D82)</f>
        <v>1</v>
      </c>
    </row>
    <row r="83" spans="1:7">
      <c r="A83" s="2" t="s">
        <v>163</v>
      </c>
      <c r="B83" s="2" t="s">
        <v>234</v>
      </c>
      <c r="C83" s="2" t="s">
        <v>251</v>
      </c>
      <c r="D83" s="3">
        <v>46136</v>
      </c>
      <c r="E83" s="3">
        <v>46136</v>
      </c>
      <c r="F83" s="2" t="s">
        <v>34</v>
      </c>
      <c r="G83">
        <f>IF(F83="Pending",Dashboard!$B$2-D83,E83-D83)</f>
        <v>0</v>
      </c>
    </row>
    <row r="84" spans="1:7">
      <c r="A84" s="2" t="s">
        <v>163</v>
      </c>
      <c r="B84" s="2" t="s">
        <v>236</v>
      </c>
      <c r="C84" s="2" t="s">
        <v>237</v>
      </c>
      <c r="D84" s="3">
        <v>46136</v>
      </c>
      <c r="E84" s="3">
        <v>46141</v>
      </c>
      <c r="F84" s="2" t="s">
        <v>34</v>
      </c>
      <c r="G84">
        <f>IF(F84="Pending",Dashboard!$B$2-D84,E84-D84)</f>
        <v>5</v>
      </c>
    </row>
    <row r="85" spans="1:7">
      <c r="A85" s="2" t="s">
        <v>163</v>
      </c>
      <c r="B85" s="2" t="s">
        <v>238</v>
      </c>
      <c r="C85" s="2" t="s">
        <v>239</v>
      </c>
      <c r="D85" s="3">
        <v>46141</v>
      </c>
      <c r="E85" s="3">
        <v>46146</v>
      </c>
      <c r="F85" s="2" t="s">
        <v>34</v>
      </c>
      <c r="G85">
        <f>IF(F85="Pending",Dashboard!$B$2-D85,E85-D85)</f>
        <v>5</v>
      </c>
    </row>
    <row r="86" spans="1:7">
      <c r="A86" s="2" t="s">
        <v>164</v>
      </c>
      <c r="B86" s="2" t="s">
        <v>234</v>
      </c>
      <c r="C86" s="2" t="s">
        <v>240</v>
      </c>
      <c r="D86" s="3">
        <v>46142</v>
      </c>
      <c r="E86" s="3">
        <v>46147</v>
      </c>
      <c r="F86" s="2" t="s">
        <v>141</v>
      </c>
      <c r="G86">
        <f>IF(F86="Pending",Dashboard!$B$2-D86,E86-D86)</f>
        <v>5</v>
      </c>
    </row>
    <row r="87" spans="1:7">
      <c r="A87" s="2" t="s">
        <v>166</v>
      </c>
      <c r="B87" s="2" t="s">
        <v>234</v>
      </c>
      <c r="C87" s="2" t="s">
        <v>240</v>
      </c>
      <c r="D87" s="3">
        <v>46150</v>
      </c>
      <c r="E87" s="3">
        <v>46150</v>
      </c>
      <c r="F87" s="2" t="s">
        <v>34</v>
      </c>
      <c r="G87">
        <f>IF(F87="Pending",Dashboard!$B$2-D87,E87-D87)</f>
        <v>0</v>
      </c>
    </row>
    <row r="88" spans="1:7">
      <c r="A88" s="2" t="s">
        <v>166</v>
      </c>
      <c r="B88" s="2" t="s">
        <v>236</v>
      </c>
      <c r="C88" s="2" t="s">
        <v>237</v>
      </c>
      <c r="D88" s="3">
        <v>46150</v>
      </c>
      <c r="E88" s="3">
        <v>46157</v>
      </c>
      <c r="F88" s="2" t="s">
        <v>34</v>
      </c>
      <c r="G88">
        <f>IF(F88="Pending",Dashboard!$B$2-D88,E88-D88)</f>
        <v>7</v>
      </c>
    </row>
    <row r="89" spans="1:7">
      <c r="A89" s="2" t="s">
        <v>166</v>
      </c>
      <c r="B89" s="2" t="s">
        <v>238</v>
      </c>
      <c r="C89" s="2" t="s">
        <v>241</v>
      </c>
      <c r="D89" s="3">
        <v>46157</v>
      </c>
      <c r="E89" s="3">
        <v>46160</v>
      </c>
      <c r="F89" s="2" t="s">
        <v>34</v>
      </c>
      <c r="G89">
        <f>IF(F89="Pending",Dashboard!$B$2-D89,E89-D89)</f>
        <v>3</v>
      </c>
    </row>
    <row r="90" spans="1:7">
      <c r="A90" s="2" t="s">
        <v>168</v>
      </c>
      <c r="B90" s="2" t="s">
        <v>234</v>
      </c>
      <c r="C90" s="2" t="s">
        <v>240</v>
      </c>
      <c r="D90" s="3">
        <v>46156</v>
      </c>
      <c r="E90" s="3">
        <v>46160</v>
      </c>
      <c r="F90" s="2" t="s">
        <v>34</v>
      </c>
      <c r="G90">
        <f>IF(F90="Pending",Dashboard!$B$2-D90,E90-D90)</f>
        <v>4</v>
      </c>
    </row>
    <row r="91" spans="1:7">
      <c r="A91" s="2" t="s">
        <v>168</v>
      </c>
      <c r="B91" s="2" t="s">
        <v>236</v>
      </c>
      <c r="C91" s="2" t="s">
        <v>237</v>
      </c>
      <c r="D91" s="3">
        <v>46160</v>
      </c>
      <c r="E91" s="3">
        <v>46168</v>
      </c>
      <c r="F91" s="2" t="s">
        <v>34</v>
      </c>
      <c r="G91">
        <f>IF(F91="Pending",Dashboard!$B$2-D91,E91-D91)</f>
        <v>8</v>
      </c>
    </row>
    <row r="92" spans="1:7">
      <c r="A92" s="2" t="s">
        <v>168</v>
      </c>
      <c r="B92" s="2" t="s">
        <v>238</v>
      </c>
      <c r="C92" s="2" t="s">
        <v>241</v>
      </c>
      <c r="D92" s="3">
        <v>46168</v>
      </c>
      <c r="E92" s="3">
        <v>46170</v>
      </c>
      <c r="F92" s="2" t="s">
        <v>34</v>
      </c>
      <c r="G92">
        <f>IF(F92="Pending",Dashboard!$B$2-D92,E92-D92)</f>
        <v>2</v>
      </c>
    </row>
    <row r="93" spans="1:7">
      <c r="A93" s="2" t="s">
        <v>169</v>
      </c>
      <c r="B93" s="2" t="s">
        <v>234</v>
      </c>
      <c r="C93" s="2" t="s">
        <v>250</v>
      </c>
      <c r="D93" s="3">
        <v>46161</v>
      </c>
      <c r="E93" s="3">
        <v>46161</v>
      </c>
      <c r="F93" s="2" t="s">
        <v>34</v>
      </c>
      <c r="G93">
        <f>IF(F93="Pending",Dashboard!$B$2-D93,E93-D93)</f>
        <v>0</v>
      </c>
    </row>
    <row r="94" spans="1:7">
      <c r="A94" s="2" t="s">
        <v>169</v>
      </c>
      <c r="B94" s="2" t="s">
        <v>236</v>
      </c>
      <c r="C94" s="2" t="s">
        <v>243</v>
      </c>
      <c r="D94" s="3">
        <v>46161</v>
      </c>
      <c r="E94" s="3">
        <v>46168</v>
      </c>
      <c r="F94" s="2" t="s">
        <v>34</v>
      </c>
      <c r="G94">
        <f>IF(F94="Pending",Dashboard!$B$2-D94,E94-D94)</f>
        <v>7</v>
      </c>
    </row>
    <row r="95" spans="1:7">
      <c r="A95" s="2" t="s">
        <v>169</v>
      </c>
      <c r="B95" s="2" t="s">
        <v>238</v>
      </c>
      <c r="C95" s="2" t="s">
        <v>241</v>
      </c>
      <c r="D95" s="3">
        <v>46168</v>
      </c>
      <c r="E95" s="3">
        <v>46169</v>
      </c>
      <c r="F95" s="2" t="s">
        <v>34</v>
      </c>
      <c r="G95">
        <f>IF(F95="Pending",Dashboard!$B$2-D95,E95-D95)</f>
        <v>1</v>
      </c>
    </row>
    <row r="96" spans="1:7">
      <c r="A96" s="2" t="s">
        <v>171</v>
      </c>
      <c r="B96" s="2" t="s">
        <v>234</v>
      </c>
      <c r="C96" s="2" t="s">
        <v>235</v>
      </c>
      <c r="D96" s="3">
        <v>46164</v>
      </c>
      <c r="E96" s="3">
        <v>46168</v>
      </c>
      <c r="F96" s="2" t="s">
        <v>34</v>
      </c>
      <c r="G96">
        <f>IF(F96="Pending",Dashboard!$B$2-D96,E96-D96)</f>
        <v>4</v>
      </c>
    </row>
    <row r="97" spans="1:7">
      <c r="A97" s="2" t="s">
        <v>171</v>
      </c>
      <c r="B97" s="2" t="s">
        <v>236</v>
      </c>
      <c r="C97" s="2" t="s">
        <v>237</v>
      </c>
      <c r="D97" s="3">
        <v>46168</v>
      </c>
      <c r="E97" s="3">
        <v>46174</v>
      </c>
      <c r="F97" s="2" t="s">
        <v>121</v>
      </c>
      <c r="G97">
        <f>IF(F97="Pending",Dashboard!$B$2-D97,E97-D97)</f>
        <v>6</v>
      </c>
    </row>
    <row r="98" spans="1:7">
      <c r="A98" s="2" t="s">
        <v>172</v>
      </c>
      <c r="B98" s="2" t="s">
        <v>234</v>
      </c>
      <c r="C98" s="2" t="s">
        <v>242</v>
      </c>
      <c r="D98" s="3">
        <v>46164</v>
      </c>
      <c r="E98" s="3">
        <v>46167</v>
      </c>
      <c r="F98" s="2" t="s">
        <v>34</v>
      </c>
      <c r="G98">
        <f>IF(F98="Pending",Dashboard!$B$2-D98,E98-D98)</f>
        <v>3</v>
      </c>
    </row>
    <row r="99" spans="1:7">
      <c r="A99" s="2" t="s">
        <v>172</v>
      </c>
      <c r="B99" s="2" t="s">
        <v>236</v>
      </c>
      <c r="C99" s="2" t="s">
        <v>237</v>
      </c>
      <c r="D99" s="3">
        <v>46167</v>
      </c>
      <c r="E99" s="3">
        <v>46174</v>
      </c>
      <c r="F99" s="2" t="s">
        <v>34</v>
      </c>
      <c r="G99">
        <f>IF(F99="Pending",Dashboard!$B$2-D99,E99-D99)</f>
        <v>7</v>
      </c>
    </row>
    <row r="100" spans="1:7">
      <c r="A100" s="2" t="s">
        <v>172</v>
      </c>
      <c r="B100" s="2" t="s">
        <v>238</v>
      </c>
      <c r="C100" s="2" t="s">
        <v>244</v>
      </c>
      <c r="D100" s="3">
        <v>46174</v>
      </c>
      <c r="E100" s="3">
        <v>46178</v>
      </c>
      <c r="F100" s="2" t="s">
        <v>34</v>
      </c>
      <c r="G100">
        <f>IF(F100="Pending",Dashboard!$B$2-D100,E100-D100)</f>
        <v>4</v>
      </c>
    </row>
    <row r="101" spans="1:7">
      <c r="A101" s="2" t="s">
        <v>173</v>
      </c>
      <c r="B101" s="2" t="s">
        <v>234</v>
      </c>
      <c r="C101" s="2" t="s">
        <v>240</v>
      </c>
      <c r="D101" s="3">
        <v>46170</v>
      </c>
      <c r="E101" s="3">
        <v>46170</v>
      </c>
      <c r="F101" s="2" t="s">
        <v>34</v>
      </c>
      <c r="G101">
        <f>IF(F101="Pending",Dashboard!$B$2-D101,E101-D101)</f>
        <v>0</v>
      </c>
    </row>
    <row r="102" spans="1:7">
      <c r="A102" s="2" t="s">
        <v>173</v>
      </c>
      <c r="B102" s="2" t="s">
        <v>236</v>
      </c>
      <c r="C102" s="2" t="s">
        <v>237</v>
      </c>
      <c r="D102" s="3">
        <v>46170</v>
      </c>
      <c r="E102" s="3">
        <v>46178</v>
      </c>
      <c r="F102" s="2" t="s">
        <v>34</v>
      </c>
      <c r="G102">
        <f>IF(F102="Pending",Dashboard!$B$2-D102,E102-D102)</f>
        <v>8</v>
      </c>
    </row>
    <row r="103" spans="1:7">
      <c r="A103" s="2" t="s">
        <v>173</v>
      </c>
      <c r="B103" s="2" t="s">
        <v>238</v>
      </c>
      <c r="C103" s="2" t="s">
        <v>241</v>
      </c>
      <c r="D103" s="3">
        <v>46178</v>
      </c>
      <c r="E103" s="3">
        <v>46181</v>
      </c>
      <c r="F103" s="2" t="s">
        <v>34</v>
      </c>
      <c r="G103">
        <f>IF(F103="Pending",Dashboard!$B$2-D103,E103-D103)</f>
        <v>3</v>
      </c>
    </row>
    <row r="104" spans="1:7">
      <c r="A104" s="2" t="s">
        <v>174</v>
      </c>
      <c r="B104" s="2" t="s">
        <v>234</v>
      </c>
      <c r="C104" s="2" t="s">
        <v>248</v>
      </c>
      <c r="D104" s="3">
        <v>46176</v>
      </c>
      <c r="E104" s="3">
        <v>46178</v>
      </c>
      <c r="F104" s="2" t="s">
        <v>34</v>
      </c>
      <c r="G104">
        <f>IF(F104="Pending",Dashboard!$B$2-D104,E104-D104)</f>
        <v>2</v>
      </c>
    </row>
    <row r="105" spans="1:7">
      <c r="A105" s="2" t="s">
        <v>174</v>
      </c>
      <c r="B105" s="2" t="s">
        <v>236</v>
      </c>
      <c r="C105" s="2" t="s">
        <v>237</v>
      </c>
      <c r="D105" s="3">
        <v>46178</v>
      </c>
      <c r="E105" s="3">
        <v>46184</v>
      </c>
      <c r="F105" s="2" t="s">
        <v>34</v>
      </c>
      <c r="G105">
        <f>IF(F105="Pending",Dashboard!$B$2-D105,E105-D105)</f>
        <v>6</v>
      </c>
    </row>
    <row r="106" spans="1:7">
      <c r="A106" s="2" t="s">
        <v>174</v>
      </c>
      <c r="B106" s="2" t="s">
        <v>238</v>
      </c>
      <c r="C106" s="2" t="s">
        <v>244</v>
      </c>
      <c r="D106" s="3">
        <v>46184</v>
      </c>
      <c r="E106" s="3">
        <v>46188</v>
      </c>
      <c r="F106" s="2" t="s">
        <v>34</v>
      </c>
      <c r="G106">
        <f>IF(F106="Pending",Dashboard!$B$2-D106,E106-D106)</f>
        <v>4</v>
      </c>
    </row>
    <row r="107" spans="1:7">
      <c r="A107" s="2" t="s">
        <v>176</v>
      </c>
      <c r="B107" s="2" t="s">
        <v>234</v>
      </c>
      <c r="C107" s="2" t="s">
        <v>242</v>
      </c>
      <c r="D107" s="3">
        <v>46181</v>
      </c>
      <c r="E107" s="3">
        <v>46185</v>
      </c>
      <c r="F107" s="2" t="s">
        <v>34</v>
      </c>
      <c r="G107">
        <f>IF(F107="Pending",Dashboard!$B$2-D107,E107-D107)</f>
        <v>4</v>
      </c>
    </row>
    <row r="108" spans="1:7">
      <c r="A108" s="2" t="s">
        <v>176</v>
      </c>
      <c r="B108" s="2" t="s">
        <v>236</v>
      </c>
      <c r="C108" s="2" t="s">
        <v>237</v>
      </c>
      <c r="D108" s="3">
        <v>46185</v>
      </c>
      <c r="E108" s="3">
        <v>46191</v>
      </c>
      <c r="F108" s="2" t="s">
        <v>34</v>
      </c>
      <c r="G108">
        <f>IF(F108="Pending",Dashboard!$B$2-D108,E108-D108)</f>
        <v>6</v>
      </c>
    </row>
    <row r="109" spans="1:7">
      <c r="A109" s="2" t="s">
        <v>176</v>
      </c>
      <c r="B109" s="2" t="s">
        <v>238</v>
      </c>
      <c r="C109" s="2" t="s">
        <v>244</v>
      </c>
      <c r="D109" s="3">
        <v>46191</v>
      </c>
      <c r="E109" s="3">
        <v>46195</v>
      </c>
      <c r="F109" s="2" t="s">
        <v>34</v>
      </c>
      <c r="G109">
        <f>IF(F109="Pending",Dashboard!$B$2-D109,E109-D109)</f>
        <v>4</v>
      </c>
    </row>
    <row r="110" spans="1:7">
      <c r="A110" s="2" t="s">
        <v>178</v>
      </c>
      <c r="B110" s="2" t="s">
        <v>234</v>
      </c>
      <c r="C110" s="2" t="s">
        <v>242</v>
      </c>
      <c r="D110" s="3">
        <v>46181</v>
      </c>
      <c r="E110" s="3">
        <v>46185</v>
      </c>
      <c r="F110" s="2" t="s">
        <v>34</v>
      </c>
      <c r="G110">
        <f>IF(F110="Pending",Dashboard!$B$2-D110,E110-D110)</f>
        <v>4</v>
      </c>
    </row>
    <row r="111" spans="1:7">
      <c r="A111" s="2" t="s">
        <v>178</v>
      </c>
      <c r="B111" s="2" t="s">
        <v>236</v>
      </c>
      <c r="C111" s="2" t="s">
        <v>243</v>
      </c>
      <c r="D111" s="3">
        <v>46185</v>
      </c>
      <c r="E111" s="3">
        <v>46192</v>
      </c>
      <c r="F111" s="2" t="s">
        <v>34</v>
      </c>
      <c r="G111">
        <f>IF(F111="Pending",Dashboard!$B$2-D111,E111-D111)</f>
        <v>7</v>
      </c>
    </row>
    <row r="112" spans="1:7">
      <c r="A112" s="2" t="s">
        <v>178</v>
      </c>
      <c r="B112" s="2" t="s">
        <v>238</v>
      </c>
      <c r="C112" s="2" t="s">
        <v>244</v>
      </c>
      <c r="D112" s="3">
        <v>46192</v>
      </c>
      <c r="E112" s="3">
        <v>46195</v>
      </c>
      <c r="F112" s="2" t="s">
        <v>34</v>
      </c>
      <c r="G112">
        <f>IF(F112="Pending",Dashboard!$B$2-D112,E112-D112)</f>
        <v>3</v>
      </c>
    </row>
    <row r="113" spans="1:7">
      <c r="A113" s="2" t="s">
        <v>179</v>
      </c>
      <c r="B113" s="2" t="s">
        <v>234</v>
      </c>
      <c r="C113" s="2" t="s">
        <v>251</v>
      </c>
      <c r="D113" s="3">
        <v>46182</v>
      </c>
      <c r="E113" s="3">
        <v>46188</v>
      </c>
      <c r="F113" s="2" t="s">
        <v>121</v>
      </c>
      <c r="G113">
        <f>IF(F113="Pending",Dashboard!$B$2-D113,E113-D113)</f>
        <v>6</v>
      </c>
    </row>
    <row r="114" spans="1:7">
      <c r="A114" s="2" t="s">
        <v>180</v>
      </c>
      <c r="B114" s="2" t="s">
        <v>234</v>
      </c>
      <c r="C114" s="2" t="s">
        <v>242</v>
      </c>
      <c r="D114" s="3">
        <v>46183</v>
      </c>
      <c r="E114" s="3">
        <v>46188</v>
      </c>
      <c r="F114" s="2" t="s">
        <v>34</v>
      </c>
      <c r="G114">
        <f>IF(F114="Pending",Dashboard!$B$2-D114,E114-D114)</f>
        <v>5</v>
      </c>
    </row>
    <row r="115" spans="1:7">
      <c r="A115" s="2" t="s">
        <v>180</v>
      </c>
      <c r="B115" s="2" t="s">
        <v>236</v>
      </c>
      <c r="C115" s="2" t="s">
        <v>237</v>
      </c>
      <c r="D115" s="3">
        <v>46188</v>
      </c>
      <c r="E115" s="3">
        <v>46191</v>
      </c>
      <c r="F115" s="2" t="s">
        <v>34</v>
      </c>
      <c r="G115">
        <f>IF(F115="Pending",Dashboard!$B$2-D115,E115-D115)</f>
        <v>3</v>
      </c>
    </row>
    <row r="116" spans="1:7">
      <c r="A116" s="2" t="s">
        <v>180</v>
      </c>
      <c r="B116" s="2" t="s">
        <v>238</v>
      </c>
      <c r="C116" s="2" t="s">
        <v>244</v>
      </c>
      <c r="D116" s="3">
        <v>46191</v>
      </c>
      <c r="E116" s="3">
        <v>46195</v>
      </c>
      <c r="F116" s="2" t="s">
        <v>34</v>
      </c>
      <c r="G116">
        <f>IF(F116="Pending",Dashboard!$B$2-D116,E116-D116)</f>
        <v>4</v>
      </c>
    </row>
    <row r="117" spans="1:7">
      <c r="A117" s="2" t="s">
        <v>181</v>
      </c>
      <c r="B117" s="2" t="s">
        <v>234</v>
      </c>
      <c r="C117" s="2" t="s">
        <v>247</v>
      </c>
      <c r="D117" s="3">
        <v>46188</v>
      </c>
      <c r="E117" s="3">
        <v>46189</v>
      </c>
      <c r="F117" s="2" t="s">
        <v>34</v>
      </c>
      <c r="G117">
        <f>IF(F117="Pending",Dashboard!$B$2-D117,E117-D117)</f>
        <v>1</v>
      </c>
    </row>
    <row r="118" spans="1:7">
      <c r="A118" s="2" t="s">
        <v>181</v>
      </c>
      <c r="B118" s="2" t="s">
        <v>236</v>
      </c>
      <c r="C118" s="2" t="s">
        <v>237</v>
      </c>
      <c r="D118" s="3">
        <v>46189</v>
      </c>
      <c r="E118" s="3">
        <v>46199</v>
      </c>
      <c r="F118" s="2" t="s">
        <v>34</v>
      </c>
      <c r="G118">
        <f>IF(F118="Pending",Dashboard!$B$2-D118,E118-D118)</f>
        <v>10</v>
      </c>
    </row>
    <row r="119" spans="1:7">
      <c r="A119" s="2" t="s">
        <v>181</v>
      </c>
      <c r="B119" s="2" t="s">
        <v>238</v>
      </c>
      <c r="C119" s="2" t="s">
        <v>241</v>
      </c>
      <c r="D119" s="3">
        <v>46199</v>
      </c>
      <c r="E119" s="3">
        <v>46203</v>
      </c>
      <c r="F119" s="2" t="s">
        <v>34</v>
      </c>
      <c r="G119">
        <f>IF(F119="Pending",Dashboard!$B$2-D119,E119-D119)</f>
        <v>4</v>
      </c>
    </row>
    <row r="120" spans="1:7">
      <c r="A120" s="2" t="s">
        <v>184</v>
      </c>
      <c r="B120" s="2" t="s">
        <v>234</v>
      </c>
      <c r="C120" s="2" t="s">
        <v>251</v>
      </c>
      <c r="D120" s="3">
        <v>46195</v>
      </c>
      <c r="E120" s="3">
        <v>46196</v>
      </c>
      <c r="F120" s="2" t="s">
        <v>34</v>
      </c>
      <c r="G120">
        <f>IF(F120="Pending",Dashboard!$B$2-D120,E120-D120)</f>
        <v>1</v>
      </c>
    </row>
    <row r="121" spans="1:7">
      <c r="A121" s="2" t="s">
        <v>184</v>
      </c>
      <c r="B121" s="2" t="s">
        <v>236</v>
      </c>
      <c r="C121" s="2" t="s">
        <v>237</v>
      </c>
      <c r="D121" s="3">
        <v>46196</v>
      </c>
      <c r="E121" s="3">
        <v>46206</v>
      </c>
      <c r="F121" s="2" t="s">
        <v>34</v>
      </c>
      <c r="G121">
        <f>IF(F121="Pending",Dashboard!$B$2-D121,E121-D121)</f>
        <v>10</v>
      </c>
    </row>
    <row r="122" spans="1:7">
      <c r="A122" s="2" t="s">
        <v>184</v>
      </c>
      <c r="B122" s="2" t="s">
        <v>238</v>
      </c>
      <c r="C122" s="2" t="s">
        <v>239</v>
      </c>
      <c r="D122" s="3">
        <v>46206</v>
      </c>
      <c r="E122" s="3">
        <v>46209</v>
      </c>
      <c r="F122" s="2" t="s">
        <v>34</v>
      </c>
      <c r="G122">
        <f>IF(F122="Pending",Dashboard!$B$2-D122,E122-D122)</f>
        <v>3</v>
      </c>
    </row>
    <row r="123" spans="1:7">
      <c r="A123" s="2" t="s">
        <v>185</v>
      </c>
      <c r="B123" s="2" t="s">
        <v>234</v>
      </c>
      <c r="C123" s="2" t="s">
        <v>246</v>
      </c>
      <c r="D123" s="3">
        <v>46196</v>
      </c>
      <c r="E123" s="3">
        <v>46197</v>
      </c>
      <c r="F123" s="2" t="s">
        <v>34</v>
      </c>
      <c r="G123">
        <f>IF(F123="Pending",Dashboard!$B$2-D123,E123-D123)</f>
        <v>1</v>
      </c>
    </row>
    <row r="124" spans="1:7">
      <c r="A124" s="2" t="s">
        <v>185</v>
      </c>
      <c r="B124" s="2" t="s">
        <v>236</v>
      </c>
      <c r="C124" s="2" t="s">
        <v>237</v>
      </c>
      <c r="D124" s="3">
        <v>46197</v>
      </c>
      <c r="E124" s="3">
        <v>46206</v>
      </c>
      <c r="F124" s="2" t="s">
        <v>34</v>
      </c>
      <c r="G124">
        <f>IF(F124="Pending",Dashboard!$B$2-D124,E124-D124)</f>
        <v>9</v>
      </c>
    </row>
    <row r="125" spans="1:7">
      <c r="A125" s="2" t="s">
        <v>185</v>
      </c>
      <c r="B125" s="2" t="s">
        <v>238</v>
      </c>
      <c r="C125" s="2" t="s">
        <v>239</v>
      </c>
      <c r="D125" s="3">
        <v>46206</v>
      </c>
      <c r="E125" s="3">
        <v>46209</v>
      </c>
      <c r="F125" s="2" t="s">
        <v>34</v>
      </c>
      <c r="G125">
        <f>IF(F125="Pending",Dashboard!$B$2-D125,E125-D125)</f>
        <v>3</v>
      </c>
    </row>
    <row r="126" spans="1:7">
      <c r="A126" s="2" t="s">
        <v>187</v>
      </c>
      <c r="B126" s="2" t="s">
        <v>234</v>
      </c>
      <c r="C126" s="2" t="s">
        <v>249</v>
      </c>
      <c r="D126" s="3">
        <v>46197</v>
      </c>
      <c r="E126" s="3">
        <v>46198</v>
      </c>
      <c r="F126" s="2" t="s">
        <v>34</v>
      </c>
      <c r="G126">
        <f>IF(F126="Pending",Dashboard!$B$2-D126,E126-D126)</f>
        <v>1</v>
      </c>
    </row>
    <row r="127" spans="1:7">
      <c r="A127" s="2" t="s">
        <v>187</v>
      </c>
      <c r="B127" s="2" t="s">
        <v>236</v>
      </c>
      <c r="C127" s="2" t="s">
        <v>243</v>
      </c>
      <c r="D127" s="3">
        <v>46198</v>
      </c>
      <c r="E127" s="3">
        <v>46204</v>
      </c>
      <c r="F127" s="2" t="s">
        <v>34</v>
      </c>
      <c r="G127">
        <f>IF(F127="Pending",Dashboard!$B$2-D127,E127-D127)</f>
        <v>6</v>
      </c>
    </row>
    <row r="128" spans="1:7">
      <c r="A128" s="2" t="s">
        <v>187</v>
      </c>
      <c r="B128" s="2" t="s">
        <v>238</v>
      </c>
      <c r="C128" s="2" t="s">
        <v>239</v>
      </c>
      <c r="D128" s="3">
        <v>46204</v>
      </c>
      <c r="E128" s="3">
        <v>46209</v>
      </c>
      <c r="F128" s="2" t="s">
        <v>34</v>
      </c>
      <c r="G128">
        <f>IF(F128="Pending",Dashboard!$B$2-D128,E128-D128)</f>
        <v>5</v>
      </c>
    </row>
    <row r="129" spans="1:7">
      <c r="A129" s="2" t="s">
        <v>189</v>
      </c>
      <c r="B129" s="2" t="s">
        <v>234</v>
      </c>
      <c r="C129" s="2" t="s">
        <v>240</v>
      </c>
      <c r="D129" s="3">
        <v>46199</v>
      </c>
      <c r="E129" s="3">
        <v>46202</v>
      </c>
      <c r="F129" s="2" t="s">
        <v>34</v>
      </c>
      <c r="G129">
        <f>IF(F129="Pending",Dashboard!$B$2-D129,E129-D129)</f>
        <v>3</v>
      </c>
    </row>
    <row r="130" spans="1:7">
      <c r="A130" s="2" t="s">
        <v>189</v>
      </c>
      <c r="B130" s="2" t="s">
        <v>236</v>
      </c>
      <c r="C130" s="2" t="s">
        <v>237</v>
      </c>
      <c r="D130" s="3">
        <v>46202</v>
      </c>
      <c r="E130" s="3">
        <v>46205</v>
      </c>
      <c r="F130" s="2" t="s">
        <v>34</v>
      </c>
      <c r="G130">
        <f>IF(F130="Pending",Dashboard!$B$2-D130,E130-D130)</f>
        <v>3</v>
      </c>
    </row>
    <row r="131" spans="1:7">
      <c r="A131" s="2" t="s">
        <v>189</v>
      </c>
      <c r="B131" s="2" t="s">
        <v>238</v>
      </c>
      <c r="C131" s="2" t="s">
        <v>241</v>
      </c>
      <c r="D131" s="3">
        <v>46205</v>
      </c>
      <c r="E131" s="3">
        <v>46209</v>
      </c>
      <c r="F131" s="2" t="s">
        <v>34</v>
      </c>
      <c r="G131">
        <f>IF(F131="Pending",Dashboard!$B$2-D131,E131-D131)</f>
        <v>4</v>
      </c>
    </row>
    <row r="132" spans="1:7">
      <c r="A132" s="2" t="s">
        <v>191</v>
      </c>
      <c r="B132" s="2" t="s">
        <v>234</v>
      </c>
      <c r="C132" s="2" t="s">
        <v>245</v>
      </c>
      <c r="D132" s="3">
        <v>46205</v>
      </c>
      <c r="E132" s="3">
        <v>46206</v>
      </c>
      <c r="F132" s="2" t="s">
        <v>34</v>
      </c>
      <c r="G132">
        <f>IF(F132="Pending",Dashboard!$B$2-D132,E132-D132)</f>
        <v>1</v>
      </c>
    </row>
    <row r="133" spans="1:7">
      <c r="A133" s="2" t="s">
        <v>191</v>
      </c>
      <c r="B133" s="2" t="s">
        <v>236</v>
      </c>
      <c r="C133" s="2" t="s">
        <v>237</v>
      </c>
      <c r="D133" s="3">
        <v>46206</v>
      </c>
      <c r="E133" s="3">
        <v>46216</v>
      </c>
      <c r="F133" s="2" t="s">
        <v>121</v>
      </c>
      <c r="G133">
        <f>IF(F133="Pending",Dashboard!$B$2-D133,E133-D133)</f>
        <v>10</v>
      </c>
    </row>
    <row r="134" spans="1:7">
      <c r="A134" s="2" t="s">
        <v>192</v>
      </c>
      <c r="B134" s="2" t="s">
        <v>234</v>
      </c>
      <c r="C134" s="2" t="s">
        <v>240</v>
      </c>
      <c r="D134" s="3">
        <v>46209</v>
      </c>
      <c r="E134" s="3">
        <v>46216</v>
      </c>
      <c r="F134" s="2" t="s">
        <v>34</v>
      </c>
      <c r="G134">
        <f>IF(F134="Pending",Dashboard!$B$2-D134,E134-D134)</f>
        <v>7</v>
      </c>
    </row>
    <row r="135" spans="1:7">
      <c r="A135" s="2" t="s">
        <v>192</v>
      </c>
      <c r="B135" s="2" t="s">
        <v>236</v>
      </c>
      <c r="C135" s="2" t="s">
        <v>237</v>
      </c>
      <c r="D135" s="3">
        <v>46216</v>
      </c>
      <c r="E135" s="3">
        <v>46223</v>
      </c>
      <c r="F135" s="2" t="s">
        <v>34</v>
      </c>
      <c r="G135">
        <f>IF(F135="Pending",Dashboard!$B$2-D135,E135-D135)</f>
        <v>7</v>
      </c>
    </row>
    <row r="136" spans="1:7">
      <c r="A136" s="2" t="s">
        <v>192</v>
      </c>
      <c r="B136" s="2" t="s">
        <v>238</v>
      </c>
      <c r="C136" s="2" t="s">
        <v>241</v>
      </c>
      <c r="D136" s="3">
        <v>46223</v>
      </c>
      <c r="E136" s="3">
        <v>46224</v>
      </c>
      <c r="F136" s="2" t="s">
        <v>34</v>
      </c>
      <c r="G136">
        <f>IF(F136="Pending",Dashboard!$B$2-D136,E136-D136)</f>
        <v>1</v>
      </c>
    </row>
    <row r="137" spans="1:7">
      <c r="A137" s="2" t="s">
        <v>193</v>
      </c>
      <c r="B137" s="2" t="s">
        <v>234</v>
      </c>
      <c r="C137" s="2" t="s">
        <v>240</v>
      </c>
      <c r="D137" s="3">
        <v>46212</v>
      </c>
      <c r="E137" s="3">
        <v>46213</v>
      </c>
      <c r="F137" s="2" t="s">
        <v>34</v>
      </c>
      <c r="G137">
        <f>IF(F137="Pending",Dashboard!$B$2-D137,E137-D137)</f>
        <v>1</v>
      </c>
    </row>
    <row r="138" spans="1:7">
      <c r="A138" s="2" t="s">
        <v>193</v>
      </c>
      <c r="B138" s="2" t="s">
        <v>236</v>
      </c>
      <c r="C138" s="2" t="s">
        <v>237</v>
      </c>
      <c r="D138" s="3">
        <v>46213</v>
      </c>
      <c r="E138" s="3">
        <v>46223</v>
      </c>
      <c r="F138" s="2" t="s">
        <v>34</v>
      </c>
      <c r="G138">
        <f>IF(F138="Pending",Dashboard!$B$2-D138,E138-D138)</f>
        <v>10</v>
      </c>
    </row>
    <row r="139" spans="1:7">
      <c r="A139" s="2" t="s">
        <v>193</v>
      </c>
      <c r="B139" s="2" t="s">
        <v>238</v>
      </c>
      <c r="C139" s="2" t="s">
        <v>241</v>
      </c>
      <c r="D139" s="3">
        <v>46223</v>
      </c>
      <c r="E139" s="3">
        <v>46224</v>
      </c>
      <c r="F139" s="2" t="s">
        <v>34</v>
      </c>
      <c r="G139">
        <f>IF(F139="Pending",Dashboard!$B$2-D139,E139-D139)</f>
        <v>1</v>
      </c>
    </row>
    <row r="140" spans="1:7">
      <c r="A140" s="2" t="s">
        <v>194</v>
      </c>
      <c r="B140" s="2" t="s">
        <v>234</v>
      </c>
      <c r="C140" s="2" t="s">
        <v>240</v>
      </c>
      <c r="D140" s="3">
        <v>46216</v>
      </c>
      <c r="E140" s="3">
        <v>46217</v>
      </c>
      <c r="F140" s="2" t="s">
        <v>34</v>
      </c>
      <c r="G140">
        <f>IF(F140="Pending",Dashboard!$B$2-D140,E140-D140)</f>
        <v>1</v>
      </c>
    </row>
    <row r="141" spans="1:7">
      <c r="A141" s="2" t="s">
        <v>194</v>
      </c>
      <c r="B141" s="2" t="s">
        <v>236</v>
      </c>
      <c r="C141" s="2" t="s">
        <v>237</v>
      </c>
      <c r="D141" s="3">
        <v>46217</v>
      </c>
      <c r="E141" s="3">
        <v>46225</v>
      </c>
      <c r="F141" s="2" t="s">
        <v>34</v>
      </c>
      <c r="G141">
        <f>IF(F141="Pending",Dashboard!$B$2-D141,E141-D141)</f>
        <v>8</v>
      </c>
    </row>
    <row r="142" spans="1:7">
      <c r="A142" s="2" t="s">
        <v>194</v>
      </c>
      <c r="B142" s="2" t="s">
        <v>238</v>
      </c>
      <c r="C142" s="2" t="s">
        <v>241</v>
      </c>
      <c r="D142" s="3">
        <v>46225</v>
      </c>
      <c r="E142" s="3">
        <v>46226</v>
      </c>
      <c r="F142" s="2" t="s">
        <v>34</v>
      </c>
      <c r="G142">
        <f>IF(F142="Pending",Dashboard!$B$2-D142,E142-D142)</f>
        <v>1</v>
      </c>
    </row>
    <row r="143" spans="1:7">
      <c r="A143" s="2" t="s">
        <v>195</v>
      </c>
      <c r="B143" s="2" t="s">
        <v>234</v>
      </c>
      <c r="C143" s="2" t="s">
        <v>240</v>
      </c>
      <c r="D143" s="3">
        <v>46217</v>
      </c>
      <c r="E143" s="3">
        <v>46218</v>
      </c>
      <c r="F143" s="2" t="s">
        <v>34</v>
      </c>
      <c r="G143">
        <f>IF(F143="Pending",Dashboard!$B$2-D143,E143-D143)</f>
        <v>1</v>
      </c>
    </row>
    <row r="144" spans="1:7">
      <c r="A144" s="2" t="s">
        <v>195</v>
      </c>
      <c r="B144" s="2" t="s">
        <v>236</v>
      </c>
      <c r="C144" s="2" t="s">
        <v>243</v>
      </c>
      <c r="D144" s="3">
        <v>46218</v>
      </c>
      <c r="E144" s="3">
        <v>46223</v>
      </c>
      <c r="F144" s="2" t="s">
        <v>34</v>
      </c>
      <c r="G144">
        <f>IF(F144="Pending",Dashboard!$B$2-D144,E144-D144)</f>
        <v>5</v>
      </c>
    </row>
    <row r="145" spans="1:7">
      <c r="A145" s="2" t="s">
        <v>195</v>
      </c>
      <c r="B145" s="2" t="s">
        <v>238</v>
      </c>
      <c r="C145" s="2" t="s">
        <v>241</v>
      </c>
      <c r="D145" s="3">
        <v>46223</v>
      </c>
      <c r="E145" s="3">
        <v>46227</v>
      </c>
      <c r="F145" s="2" t="s">
        <v>34</v>
      </c>
      <c r="G145">
        <f>IF(F145="Pending",Dashboard!$B$2-D145,E145-D145)</f>
        <v>4</v>
      </c>
    </row>
    <row r="146" spans="1:7">
      <c r="A146" s="2" t="s">
        <v>196</v>
      </c>
      <c r="B146" s="2" t="s">
        <v>234</v>
      </c>
      <c r="C146" s="2" t="s">
        <v>245</v>
      </c>
      <c r="D146" s="3">
        <v>46219</v>
      </c>
      <c r="E146" s="3">
        <v>46223</v>
      </c>
      <c r="F146" s="2" t="s">
        <v>34</v>
      </c>
      <c r="G146">
        <f>IF(F146="Pending",Dashboard!$B$2-D146,E146-D146)</f>
        <v>4</v>
      </c>
    </row>
    <row r="147" spans="1:7">
      <c r="A147" s="2" t="s">
        <v>196</v>
      </c>
      <c r="B147" s="2" t="s">
        <v>236</v>
      </c>
      <c r="C147" s="2" t="s">
        <v>237</v>
      </c>
      <c r="D147" s="3">
        <v>46223</v>
      </c>
      <c r="E147" s="3">
        <v>46230</v>
      </c>
      <c r="F147" s="2" t="s">
        <v>34</v>
      </c>
      <c r="G147">
        <f>IF(F147="Pending",Dashboard!$B$2-D147,E147-D147)</f>
        <v>7</v>
      </c>
    </row>
    <row r="148" spans="1:7">
      <c r="A148" s="2" t="s">
        <v>196</v>
      </c>
      <c r="B148" s="2" t="s">
        <v>238</v>
      </c>
      <c r="C148" s="2" t="s">
        <v>244</v>
      </c>
      <c r="D148" s="3">
        <v>46230</v>
      </c>
      <c r="E148" s="3">
        <v>46233</v>
      </c>
      <c r="F148" s="2" t="s">
        <v>34</v>
      </c>
      <c r="G148">
        <f>IF(F148="Pending",Dashboard!$B$2-D148,E148-D148)</f>
        <v>3</v>
      </c>
    </row>
    <row r="149" spans="1:7">
      <c r="A149" s="2" t="s">
        <v>198</v>
      </c>
      <c r="B149" s="2" t="s">
        <v>234</v>
      </c>
      <c r="C149" s="2" t="s">
        <v>242</v>
      </c>
      <c r="D149" s="3">
        <v>46230</v>
      </c>
      <c r="E149" s="3">
        <v>46233</v>
      </c>
      <c r="F149" s="2" t="s">
        <v>34</v>
      </c>
      <c r="G149">
        <f>IF(F149="Pending",Dashboard!$B$2-D149,E149-D149)</f>
        <v>3</v>
      </c>
    </row>
    <row r="150" spans="1:7">
      <c r="A150" s="2" t="s">
        <v>198</v>
      </c>
      <c r="B150" s="2" t="s">
        <v>236</v>
      </c>
      <c r="C150" s="2" t="s">
        <v>237</v>
      </c>
      <c r="D150" s="3">
        <v>46233</v>
      </c>
      <c r="E150" s="3">
        <v>46237</v>
      </c>
      <c r="F150" s="2" t="s">
        <v>34</v>
      </c>
      <c r="G150">
        <f>IF(F150="Pending",Dashboard!$B$2-D150,E150-D150)</f>
        <v>4</v>
      </c>
    </row>
    <row r="151" spans="1:7">
      <c r="A151" s="2" t="s">
        <v>198</v>
      </c>
      <c r="B151" s="2" t="s">
        <v>238</v>
      </c>
      <c r="C151" s="2" t="s">
        <v>244</v>
      </c>
      <c r="D151" s="3">
        <v>46237</v>
      </c>
      <c r="E151" s="3">
        <v>46241</v>
      </c>
      <c r="F151" s="2" t="s">
        <v>34</v>
      </c>
      <c r="G151">
        <f>IF(F151="Pending",Dashboard!$B$2-D151,E151-D151)</f>
        <v>4</v>
      </c>
    </row>
    <row r="152" spans="1:7">
      <c r="A152" s="2" t="s">
        <v>200</v>
      </c>
      <c r="B152" s="2" t="s">
        <v>234</v>
      </c>
      <c r="C152" s="2" t="s">
        <v>250</v>
      </c>
      <c r="D152" s="3">
        <v>46233</v>
      </c>
      <c r="E152" s="3">
        <v>46237</v>
      </c>
      <c r="F152" s="2" t="s">
        <v>34</v>
      </c>
      <c r="G152">
        <f>IF(F152="Pending",Dashboard!$B$2-D152,E152-D152)</f>
        <v>4</v>
      </c>
    </row>
    <row r="153" spans="1:7">
      <c r="A153" s="2" t="s">
        <v>200</v>
      </c>
      <c r="B153" s="2" t="s">
        <v>236</v>
      </c>
      <c r="C153" s="2" t="s">
        <v>243</v>
      </c>
      <c r="D153" s="3">
        <v>46237</v>
      </c>
      <c r="E153" s="3">
        <v>46247</v>
      </c>
      <c r="F153" s="2" t="s">
        <v>34</v>
      </c>
      <c r="G153">
        <f>IF(F153="Pending",Dashboard!$B$2-D153,E153-D153)</f>
        <v>10</v>
      </c>
    </row>
    <row r="154" spans="1:7">
      <c r="A154" s="2" t="s">
        <v>200</v>
      </c>
      <c r="B154" s="2" t="s">
        <v>238</v>
      </c>
      <c r="C154" s="2" t="s">
        <v>241</v>
      </c>
      <c r="D154" s="3">
        <v>46247</v>
      </c>
      <c r="E154" s="3">
        <v>46251</v>
      </c>
      <c r="F154" s="2" t="s">
        <v>34</v>
      </c>
      <c r="G154">
        <f>IF(F154="Pending",Dashboard!$B$2-D154,E154-D154)</f>
        <v>4</v>
      </c>
    </row>
    <row r="155" spans="1:7">
      <c r="A155" s="2" t="s">
        <v>201</v>
      </c>
      <c r="B155" s="2" t="s">
        <v>234</v>
      </c>
      <c r="C155" s="2" t="s">
        <v>246</v>
      </c>
      <c r="D155" s="3">
        <v>46233</v>
      </c>
      <c r="E155" s="3">
        <v>46237</v>
      </c>
      <c r="F155" s="2" t="s">
        <v>34</v>
      </c>
      <c r="G155">
        <f>IF(F155="Pending",Dashboard!$B$2-D155,E155-D155)</f>
        <v>4</v>
      </c>
    </row>
    <row r="156" spans="1:7">
      <c r="A156" s="2" t="s">
        <v>201</v>
      </c>
      <c r="B156" s="2" t="s">
        <v>236</v>
      </c>
      <c r="C156" s="2" t="s">
        <v>243</v>
      </c>
      <c r="D156" s="3">
        <v>46237</v>
      </c>
      <c r="E156" s="3">
        <v>46240</v>
      </c>
      <c r="F156" s="2" t="s">
        <v>34</v>
      </c>
      <c r="G156">
        <f>IF(F156="Pending",Dashboard!$B$2-D156,E156-D156)</f>
        <v>3</v>
      </c>
    </row>
    <row r="157" spans="1:7">
      <c r="A157" s="2" t="s">
        <v>201</v>
      </c>
      <c r="B157" s="2" t="s">
        <v>238</v>
      </c>
      <c r="C157" s="2" t="s">
        <v>239</v>
      </c>
      <c r="D157" s="3">
        <v>46240</v>
      </c>
      <c r="E157" s="3">
        <v>46244</v>
      </c>
      <c r="F157" s="2" t="s">
        <v>34</v>
      </c>
      <c r="G157">
        <f>IF(F157="Pending",Dashboard!$B$2-D157,E157-D157)</f>
        <v>4</v>
      </c>
    </row>
    <row r="158" spans="1:7">
      <c r="A158" s="2" t="s">
        <v>202</v>
      </c>
      <c r="B158" s="2" t="s">
        <v>234</v>
      </c>
      <c r="C158" s="2" t="s">
        <v>242</v>
      </c>
      <c r="D158" s="3">
        <v>46237</v>
      </c>
      <c r="E158" s="3">
        <v>46239</v>
      </c>
      <c r="F158" s="2" t="s">
        <v>121</v>
      </c>
      <c r="G158">
        <f>IF(F158="Pending",Dashboard!$B$2-D158,E158-D158)</f>
        <v>2</v>
      </c>
    </row>
    <row r="159" spans="1:7">
      <c r="A159" s="2" t="s">
        <v>203</v>
      </c>
      <c r="B159" s="2" t="s">
        <v>234</v>
      </c>
      <c r="C159" s="2" t="s">
        <v>235</v>
      </c>
      <c r="D159" s="3">
        <v>46238</v>
      </c>
      <c r="E159" s="3">
        <v>46239</v>
      </c>
      <c r="F159" s="2" t="s">
        <v>34</v>
      </c>
      <c r="G159">
        <f>IF(F159="Pending",Dashboard!$B$2-D159,E159-D159)</f>
        <v>1</v>
      </c>
    </row>
    <row r="160" spans="1:7">
      <c r="A160" s="2" t="s">
        <v>203</v>
      </c>
      <c r="B160" s="2" t="s">
        <v>236</v>
      </c>
      <c r="C160" s="2" t="s">
        <v>237</v>
      </c>
      <c r="D160" s="3">
        <v>46239</v>
      </c>
      <c r="E160" s="3">
        <v>46244</v>
      </c>
      <c r="F160" s="2" t="s">
        <v>34</v>
      </c>
      <c r="G160">
        <f>IF(F160="Pending",Dashboard!$B$2-D160,E160-D160)</f>
        <v>5</v>
      </c>
    </row>
    <row r="161" spans="1:7">
      <c r="A161" s="2" t="s">
        <v>203</v>
      </c>
      <c r="B161" s="2" t="s">
        <v>238</v>
      </c>
      <c r="C161" s="2" t="s">
        <v>239</v>
      </c>
      <c r="D161" s="3">
        <v>46244</v>
      </c>
      <c r="E161" s="3">
        <v>46246</v>
      </c>
      <c r="F161" s="2" t="s">
        <v>34</v>
      </c>
      <c r="G161">
        <f>IF(F161="Pending",Dashboard!$B$2-D161,E161-D161)</f>
        <v>2</v>
      </c>
    </row>
    <row r="162" spans="1:7">
      <c r="A162" s="2" t="s">
        <v>204</v>
      </c>
      <c r="B162" s="2" t="s">
        <v>234</v>
      </c>
      <c r="C162" s="2" t="s">
        <v>242</v>
      </c>
      <c r="D162" s="3">
        <v>46241</v>
      </c>
      <c r="E162" s="3">
        <v>46244</v>
      </c>
      <c r="F162" s="2" t="s">
        <v>34</v>
      </c>
      <c r="G162">
        <f>IF(F162="Pending",Dashboard!$B$2-D162,E162-D162)</f>
        <v>3</v>
      </c>
    </row>
    <row r="163" spans="1:7">
      <c r="A163" s="2" t="s">
        <v>204</v>
      </c>
      <c r="B163" s="2" t="s">
        <v>236</v>
      </c>
      <c r="C163" s="2" t="s">
        <v>237</v>
      </c>
      <c r="D163" s="3">
        <v>46244</v>
      </c>
      <c r="E163" s="3">
        <v>46251</v>
      </c>
      <c r="F163" s="2" t="s">
        <v>34</v>
      </c>
      <c r="G163">
        <f>IF(F163="Pending",Dashboard!$B$2-D163,E163-D163)</f>
        <v>7</v>
      </c>
    </row>
    <row r="164" spans="1:7">
      <c r="A164" s="2" t="s">
        <v>204</v>
      </c>
      <c r="B164" s="2" t="s">
        <v>238</v>
      </c>
      <c r="C164" s="2" t="s">
        <v>244</v>
      </c>
      <c r="D164" s="3">
        <v>46251</v>
      </c>
      <c r="E164" s="3">
        <v>46252</v>
      </c>
      <c r="F164" s="2" t="s">
        <v>34</v>
      </c>
      <c r="G164">
        <f>IF(F164="Pending",Dashboard!$B$2-D164,E164-D164)</f>
        <v>1</v>
      </c>
    </row>
    <row r="165" spans="1:7">
      <c r="A165" s="2" t="s">
        <v>205</v>
      </c>
      <c r="B165" s="2" t="s">
        <v>234</v>
      </c>
      <c r="C165" s="2" t="s">
        <v>240</v>
      </c>
      <c r="D165" s="3">
        <v>46255</v>
      </c>
      <c r="E165" s="3">
        <v>46255</v>
      </c>
      <c r="F165" s="2" t="s">
        <v>34</v>
      </c>
      <c r="G165">
        <f>IF(F165="Pending",Dashboard!$B$2-D165,E165-D165)</f>
        <v>0</v>
      </c>
    </row>
    <row r="166" spans="1:7">
      <c r="A166" s="2" t="s">
        <v>205</v>
      </c>
      <c r="B166" s="2" t="s">
        <v>236</v>
      </c>
      <c r="C166" s="2" t="s">
        <v>243</v>
      </c>
      <c r="D166" s="3">
        <v>46255</v>
      </c>
      <c r="E166" s="3">
        <v>46259</v>
      </c>
      <c r="F166" s="2" t="s">
        <v>34</v>
      </c>
      <c r="G166">
        <f>IF(F166="Pending",Dashboard!$B$2-D166,E166-D166)</f>
        <v>4</v>
      </c>
    </row>
    <row r="167" spans="1:7">
      <c r="A167" s="2" t="s">
        <v>205</v>
      </c>
      <c r="B167" s="2" t="s">
        <v>238</v>
      </c>
      <c r="C167" s="2" t="s">
        <v>241</v>
      </c>
      <c r="D167" s="3">
        <v>46259</v>
      </c>
      <c r="E167" s="3">
        <v>46261</v>
      </c>
      <c r="F167" s="2" t="s">
        <v>34</v>
      </c>
      <c r="G167">
        <f>IF(F167="Pending",Dashboard!$B$2-D167,E167-D167)</f>
        <v>2</v>
      </c>
    </row>
    <row r="168" spans="1:7">
      <c r="A168" s="2" t="s">
        <v>206</v>
      </c>
      <c r="B168" s="2" t="s">
        <v>234</v>
      </c>
      <c r="C168" s="2" t="s">
        <v>248</v>
      </c>
      <c r="D168" s="3">
        <v>46255</v>
      </c>
      <c r="E168" s="3">
        <v>46258</v>
      </c>
      <c r="F168" s="2" t="s">
        <v>34</v>
      </c>
      <c r="G168">
        <f>IF(F168="Pending",Dashboard!$B$2-D168,E168-D168)</f>
        <v>3</v>
      </c>
    </row>
    <row r="169" spans="1:7">
      <c r="A169" s="2" t="s">
        <v>206</v>
      </c>
      <c r="B169" s="2" t="s">
        <v>236</v>
      </c>
      <c r="C169" s="2" t="s">
        <v>237</v>
      </c>
      <c r="D169" s="3">
        <v>46258</v>
      </c>
      <c r="E169" s="3">
        <v>46265</v>
      </c>
      <c r="F169" s="2" t="s">
        <v>34</v>
      </c>
      <c r="G169">
        <f>IF(F169="Pending",Dashboard!$B$2-D169,E169-D169)</f>
        <v>7</v>
      </c>
    </row>
    <row r="170" spans="1:7">
      <c r="A170" s="2" t="s">
        <v>206</v>
      </c>
      <c r="B170" s="2" t="s">
        <v>238</v>
      </c>
      <c r="C170" s="2" t="s">
        <v>244</v>
      </c>
      <c r="D170" s="3">
        <v>46265</v>
      </c>
      <c r="E170" s="3">
        <v>46268</v>
      </c>
      <c r="F170" s="2" t="s">
        <v>34</v>
      </c>
      <c r="G170">
        <f>IF(F170="Pending",Dashboard!$B$2-D170,E170-D170)</f>
        <v>3</v>
      </c>
    </row>
    <row r="171" spans="1:7">
      <c r="A171" s="2" t="s">
        <v>207</v>
      </c>
      <c r="B171" s="2" t="s">
        <v>234</v>
      </c>
      <c r="C171" s="2" t="s">
        <v>247</v>
      </c>
      <c r="D171" s="3">
        <v>46261</v>
      </c>
      <c r="E171" s="3">
        <v>46265</v>
      </c>
      <c r="F171" s="2" t="s">
        <v>34</v>
      </c>
      <c r="G171">
        <f>IF(F171="Pending",Dashboard!$B$2-D171,E171-D171)</f>
        <v>4</v>
      </c>
    </row>
    <row r="172" spans="1:7">
      <c r="A172" s="2" t="s">
        <v>207</v>
      </c>
      <c r="B172" s="2" t="s">
        <v>236</v>
      </c>
      <c r="C172" s="2" t="s">
        <v>243</v>
      </c>
      <c r="D172" s="3">
        <v>46265</v>
      </c>
      <c r="E172" s="3">
        <v>46273</v>
      </c>
      <c r="F172" s="2" t="s">
        <v>34</v>
      </c>
      <c r="G172">
        <f>IF(F172="Pending",Dashboard!$B$2-D172,E172-D172)</f>
        <v>8</v>
      </c>
    </row>
    <row r="173" spans="1:7">
      <c r="A173" s="2" t="s">
        <v>207</v>
      </c>
      <c r="B173" s="2" t="s">
        <v>238</v>
      </c>
      <c r="C173" s="2" t="s">
        <v>241</v>
      </c>
      <c r="D173" s="3">
        <v>46273</v>
      </c>
      <c r="E173" s="3">
        <v>46274</v>
      </c>
      <c r="F173" s="2" t="s">
        <v>34</v>
      </c>
      <c r="G173">
        <f>IF(F173="Pending",Dashboard!$B$2-D173,E173-D173)</f>
        <v>1</v>
      </c>
    </row>
    <row r="174" spans="1:7">
      <c r="A174" s="2" t="s">
        <v>208</v>
      </c>
      <c r="B174" s="2" t="s">
        <v>234</v>
      </c>
      <c r="C174" s="2" t="s">
        <v>250</v>
      </c>
      <c r="D174" s="3">
        <v>46266</v>
      </c>
      <c r="E174" s="3">
        <v>46266</v>
      </c>
      <c r="F174" s="2" t="s">
        <v>34</v>
      </c>
      <c r="G174">
        <f>IF(F174="Pending",Dashboard!$B$2-D174,E174-D174)</f>
        <v>0</v>
      </c>
    </row>
    <row r="175" spans="1:7">
      <c r="A175" s="2" t="s">
        <v>208</v>
      </c>
      <c r="B175" s="2" t="s">
        <v>236</v>
      </c>
      <c r="C175" s="2" t="s">
        <v>243</v>
      </c>
      <c r="D175" s="3">
        <v>46266</v>
      </c>
      <c r="E175" s="3">
        <v>46272</v>
      </c>
      <c r="F175" s="2" t="s">
        <v>34</v>
      </c>
      <c r="G175">
        <f>IF(F175="Pending",Dashboard!$B$2-D175,E175-D175)</f>
        <v>6</v>
      </c>
    </row>
    <row r="176" spans="1:7">
      <c r="A176" s="2" t="s">
        <v>208</v>
      </c>
      <c r="B176" s="2" t="s">
        <v>238</v>
      </c>
      <c r="C176" s="2" t="s">
        <v>241</v>
      </c>
      <c r="D176" s="3">
        <v>46272</v>
      </c>
      <c r="E176" s="3">
        <v>46273</v>
      </c>
      <c r="F176" s="2" t="s">
        <v>34</v>
      </c>
      <c r="G176">
        <f>IF(F176="Pending",Dashboard!$B$2-D176,E176-D176)</f>
        <v>1</v>
      </c>
    </row>
    <row r="177" spans="1:7">
      <c r="A177" s="2" t="s">
        <v>209</v>
      </c>
      <c r="B177" s="2" t="s">
        <v>234</v>
      </c>
      <c r="C177" s="2" t="s">
        <v>242</v>
      </c>
      <c r="D177" s="3">
        <v>46268</v>
      </c>
      <c r="E177" s="3">
        <v>46272</v>
      </c>
      <c r="F177" s="2" t="s">
        <v>34</v>
      </c>
      <c r="G177">
        <f>IF(F177="Pending",Dashboard!$B$2-D177,E177-D177)</f>
        <v>4</v>
      </c>
    </row>
    <row r="178" spans="1:7">
      <c r="A178" s="2" t="s">
        <v>209</v>
      </c>
      <c r="B178" s="2" t="s">
        <v>236</v>
      </c>
      <c r="C178" s="2" t="s">
        <v>243</v>
      </c>
      <c r="D178" s="3">
        <v>46272</v>
      </c>
      <c r="E178" s="3">
        <v>46280</v>
      </c>
      <c r="F178" s="2" t="s">
        <v>34</v>
      </c>
      <c r="G178">
        <f>IF(F178="Pending",Dashboard!$B$2-D178,E178-D178)</f>
        <v>8</v>
      </c>
    </row>
    <row r="179" spans="1:7">
      <c r="A179" s="2" t="s">
        <v>209</v>
      </c>
      <c r="B179" s="2" t="s">
        <v>238</v>
      </c>
      <c r="C179" s="2" t="s">
        <v>244</v>
      </c>
      <c r="D179" s="3">
        <v>46280</v>
      </c>
      <c r="E179" s="3">
        <v>46282</v>
      </c>
      <c r="F179" s="2" t="s">
        <v>34</v>
      </c>
      <c r="G179">
        <f>IF(F179="Pending",Dashboard!$B$2-D179,E179-D179)</f>
        <v>2</v>
      </c>
    </row>
    <row r="180" spans="1:7">
      <c r="A180" s="2" t="s">
        <v>210</v>
      </c>
      <c r="B180" s="2" t="s">
        <v>234</v>
      </c>
      <c r="C180" s="2" t="s">
        <v>242</v>
      </c>
      <c r="D180" s="3">
        <v>46268</v>
      </c>
      <c r="E180" s="3">
        <v>46272</v>
      </c>
      <c r="F180" s="2" t="s">
        <v>34</v>
      </c>
      <c r="G180">
        <f>IF(F180="Pending",Dashboard!$B$2-D180,E180-D180)</f>
        <v>4</v>
      </c>
    </row>
    <row r="181" spans="1:7">
      <c r="A181" s="2" t="s">
        <v>210</v>
      </c>
      <c r="B181" s="2" t="s">
        <v>236</v>
      </c>
      <c r="C181" s="2" t="s">
        <v>243</v>
      </c>
      <c r="D181" s="3">
        <v>46272</v>
      </c>
      <c r="E181" s="3">
        <v>46279</v>
      </c>
      <c r="F181" s="2" t="s">
        <v>34</v>
      </c>
      <c r="G181">
        <f>IF(F181="Pending",Dashboard!$B$2-D181,E181-D181)</f>
        <v>7</v>
      </c>
    </row>
    <row r="182" spans="1:7">
      <c r="A182" s="2" t="s">
        <v>210</v>
      </c>
      <c r="B182" s="2" t="s">
        <v>238</v>
      </c>
      <c r="C182" s="2" t="s">
        <v>244</v>
      </c>
      <c r="D182" s="3">
        <v>46279</v>
      </c>
      <c r="E182" s="3">
        <v>46280</v>
      </c>
      <c r="F182" s="2" t="s">
        <v>34</v>
      </c>
      <c r="G182">
        <f>IF(F182="Pending",Dashboard!$B$2-D182,E182-D182)</f>
        <v>1</v>
      </c>
    </row>
    <row r="183" spans="1:7">
      <c r="A183" s="2" t="s">
        <v>211</v>
      </c>
      <c r="B183" s="2" t="s">
        <v>234</v>
      </c>
      <c r="C183" s="2" t="s">
        <v>240</v>
      </c>
      <c r="D183" s="3">
        <v>46269</v>
      </c>
      <c r="E183" s="3">
        <v>46274</v>
      </c>
      <c r="F183" s="2" t="s">
        <v>34</v>
      </c>
      <c r="G183">
        <f>IF(F183="Pending",Dashboard!$B$2-D183,E183-D183)</f>
        <v>5</v>
      </c>
    </row>
    <row r="184" spans="1:7">
      <c r="A184" s="2" t="s">
        <v>211</v>
      </c>
      <c r="B184" s="2" t="s">
        <v>236</v>
      </c>
      <c r="C184" s="2" t="s">
        <v>243</v>
      </c>
      <c r="D184" s="3">
        <v>46274</v>
      </c>
      <c r="E184" s="2"/>
      <c r="F184" s="2" t="s">
        <v>50</v>
      </c>
      <c r="G184">
        <f>IF(F184="Pending",Dashboard!$B$2-D184,E184-D184)</f>
        <v>21</v>
      </c>
    </row>
    <row r="185" spans="1:7">
      <c r="A185" s="2" t="s">
        <v>213</v>
      </c>
      <c r="B185" s="2" t="s">
        <v>234</v>
      </c>
      <c r="C185" s="2" t="s">
        <v>235</v>
      </c>
      <c r="D185" s="3">
        <v>46274</v>
      </c>
      <c r="E185" s="3">
        <v>46279</v>
      </c>
      <c r="F185" s="2" t="s">
        <v>34</v>
      </c>
      <c r="G185">
        <f>IF(F185="Pending",Dashboard!$B$2-D185,E185-D185)</f>
        <v>5</v>
      </c>
    </row>
    <row r="186" spans="1:7">
      <c r="A186" s="2" t="s">
        <v>213</v>
      </c>
      <c r="B186" s="2" t="s">
        <v>236</v>
      </c>
      <c r="C186" s="2" t="s">
        <v>243</v>
      </c>
      <c r="D186" s="3">
        <v>46279</v>
      </c>
      <c r="E186" s="2"/>
      <c r="F186" s="2" t="s">
        <v>50</v>
      </c>
      <c r="G186">
        <f>IF(F186="Pending",Dashboard!$B$2-D186,E186-D186)</f>
        <v>16</v>
      </c>
    </row>
    <row r="187" spans="1:7">
      <c r="A187" s="2" t="s">
        <v>214</v>
      </c>
      <c r="B187" s="2" t="s">
        <v>234</v>
      </c>
      <c r="C187" s="2" t="s">
        <v>235</v>
      </c>
      <c r="D187" s="3">
        <v>46275</v>
      </c>
      <c r="E187" s="3">
        <v>46276</v>
      </c>
      <c r="F187" s="2" t="s">
        <v>34</v>
      </c>
      <c r="G187">
        <f>IF(F187="Pending",Dashboard!$B$2-D187,E187-D187)</f>
        <v>1</v>
      </c>
    </row>
    <row r="188" spans="1:7">
      <c r="A188" s="2" t="s">
        <v>214</v>
      </c>
      <c r="B188" s="2" t="s">
        <v>236</v>
      </c>
      <c r="C188" s="2" t="s">
        <v>237</v>
      </c>
      <c r="D188" s="3">
        <v>46276</v>
      </c>
      <c r="E188" s="2"/>
      <c r="F188" s="2" t="s">
        <v>50</v>
      </c>
      <c r="G188">
        <f>IF(F188="Pending",Dashboard!$B$2-D188,E188-D188)</f>
        <v>19</v>
      </c>
    </row>
    <row r="189" spans="1:7">
      <c r="A189" s="2" t="s">
        <v>215</v>
      </c>
      <c r="B189" s="2" t="s">
        <v>234</v>
      </c>
      <c r="C189" s="2" t="s">
        <v>242</v>
      </c>
      <c r="D189" s="3">
        <v>46275</v>
      </c>
      <c r="E189" s="3">
        <v>46275</v>
      </c>
      <c r="F189" s="2" t="s">
        <v>34</v>
      </c>
      <c r="G189">
        <f>IF(F189="Pending",Dashboard!$B$2-D189,E189-D189)</f>
        <v>0</v>
      </c>
    </row>
    <row r="190" spans="1:7">
      <c r="A190" s="2" t="s">
        <v>215</v>
      </c>
      <c r="B190" s="2" t="s">
        <v>236</v>
      </c>
      <c r="C190" s="2" t="s">
        <v>237</v>
      </c>
      <c r="D190" s="3">
        <v>46275</v>
      </c>
      <c r="E190" s="3">
        <v>46280</v>
      </c>
      <c r="F190" s="2" t="s">
        <v>34</v>
      </c>
      <c r="G190">
        <f>IF(F190="Pending",Dashboard!$B$2-D190,E190-D190)</f>
        <v>5</v>
      </c>
    </row>
    <row r="191" spans="1:7">
      <c r="A191" s="2" t="s">
        <v>215</v>
      </c>
      <c r="B191" s="2" t="s">
        <v>238</v>
      </c>
      <c r="C191" s="2" t="s">
        <v>244</v>
      </c>
      <c r="D191" s="3">
        <v>46280</v>
      </c>
      <c r="E191" s="3">
        <v>46282</v>
      </c>
      <c r="F191" s="2" t="s">
        <v>34</v>
      </c>
      <c r="G191">
        <f>IF(F191="Pending",Dashboard!$B$2-D191,E191-D191)</f>
        <v>2</v>
      </c>
    </row>
    <row r="192" spans="1:7">
      <c r="A192" s="2" t="s">
        <v>216</v>
      </c>
      <c r="B192" s="2" t="s">
        <v>234</v>
      </c>
      <c r="C192" s="2" t="s">
        <v>245</v>
      </c>
      <c r="D192" s="3">
        <v>46279</v>
      </c>
      <c r="E192" s="3">
        <v>46280</v>
      </c>
      <c r="F192" s="2" t="s">
        <v>34</v>
      </c>
      <c r="G192">
        <f>IF(F192="Pending",Dashboard!$B$2-D192,E192-D192)</f>
        <v>1</v>
      </c>
    </row>
    <row r="193" spans="1:7">
      <c r="A193" s="2" t="s">
        <v>216</v>
      </c>
      <c r="B193" s="2" t="s">
        <v>236</v>
      </c>
      <c r="C193" s="2" t="s">
        <v>237</v>
      </c>
      <c r="D193" s="3">
        <v>46280</v>
      </c>
      <c r="E193" s="3">
        <v>46286</v>
      </c>
      <c r="F193" s="2" t="s">
        <v>34</v>
      </c>
      <c r="G193">
        <f>IF(F193="Pending",Dashboard!$B$2-D193,E193-D193)</f>
        <v>6</v>
      </c>
    </row>
    <row r="194" spans="1:7">
      <c r="A194" s="2" t="s">
        <v>216</v>
      </c>
      <c r="B194" s="2" t="s">
        <v>238</v>
      </c>
      <c r="C194" s="2" t="s">
        <v>244</v>
      </c>
      <c r="D194" s="3">
        <v>46286</v>
      </c>
      <c r="E194" s="3">
        <v>46288</v>
      </c>
      <c r="F194" s="2" t="s">
        <v>34</v>
      </c>
      <c r="G194">
        <f>IF(F194="Pending",Dashboard!$B$2-D194,E194-D194)</f>
        <v>2</v>
      </c>
    </row>
    <row r="195" spans="1:7">
      <c r="A195" s="2" t="s">
        <v>217</v>
      </c>
      <c r="B195" s="2" t="s">
        <v>234</v>
      </c>
      <c r="C195" s="2" t="s">
        <v>247</v>
      </c>
      <c r="D195" s="3">
        <v>46279</v>
      </c>
      <c r="E195" s="3">
        <v>46282</v>
      </c>
      <c r="F195" s="2" t="s">
        <v>34</v>
      </c>
      <c r="G195">
        <f>IF(F195="Pending",Dashboard!$B$2-D195,E195-D195)</f>
        <v>3</v>
      </c>
    </row>
    <row r="196" spans="1:7">
      <c r="A196" s="2" t="s">
        <v>217</v>
      </c>
      <c r="B196" s="2" t="s">
        <v>236</v>
      </c>
      <c r="C196" s="2" t="s">
        <v>237</v>
      </c>
      <c r="D196" s="3">
        <v>46282</v>
      </c>
      <c r="E196" s="3">
        <v>46287</v>
      </c>
      <c r="F196" s="2" t="s">
        <v>34</v>
      </c>
      <c r="G196">
        <f>IF(F196="Pending",Dashboard!$B$2-D196,E196-D196)</f>
        <v>5</v>
      </c>
    </row>
    <row r="197" spans="1:7">
      <c r="A197" s="2" t="s">
        <v>217</v>
      </c>
      <c r="B197" s="2" t="s">
        <v>238</v>
      </c>
      <c r="C197" s="2" t="s">
        <v>241</v>
      </c>
      <c r="D197" s="3">
        <v>46287</v>
      </c>
      <c r="E197" s="3">
        <v>46288</v>
      </c>
      <c r="F197" s="2" t="s">
        <v>34</v>
      </c>
      <c r="G197">
        <f>IF(F197="Pending",Dashboard!$B$2-D197,E197-D197)</f>
        <v>1</v>
      </c>
    </row>
    <row r="198" spans="1:7">
      <c r="A198" s="2" t="s">
        <v>218</v>
      </c>
      <c r="B198" s="2" t="s">
        <v>234</v>
      </c>
      <c r="C198" s="2" t="s">
        <v>242</v>
      </c>
      <c r="D198" s="3">
        <v>46279</v>
      </c>
      <c r="E198" s="3">
        <v>46283</v>
      </c>
      <c r="F198" s="2" t="s">
        <v>34</v>
      </c>
      <c r="G198">
        <f>IF(F198="Pending",Dashboard!$B$2-D198,E198-D198)</f>
        <v>4</v>
      </c>
    </row>
    <row r="199" spans="1:7">
      <c r="A199" s="2" t="s">
        <v>218</v>
      </c>
      <c r="B199" s="2" t="s">
        <v>236</v>
      </c>
      <c r="C199" s="2" t="s">
        <v>237</v>
      </c>
      <c r="D199" s="3">
        <v>46283</v>
      </c>
      <c r="E199" s="3">
        <v>46286</v>
      </c>
      <c r="F199" s="2" t="s">
        <v>34</v>
      </c>
      <c r="G199">
        <f>IF(F199="Pending",Dashboard!$B$2-D199,E199-D199)</f>
        <v>3</v>
      </c>
    </row>
    <row r="200" spans="1:7">
      <c r="A200" s="2" t="s">
        <v>218</v>
      </c>
      <c r="B200" s="2" t="s">
        <v>238</v>
      </c>
      <c r="C200" s="2" t="s">
        <v>244</v>
      </c>
      <c r="D200" s="3">
        <v>46286</v>
      </c>
      <c r="E200" s="2"/>
      <c r="F200" s="2" t="s">
        <v>50</v>
      </c>
      <c r="G200">
        <f>IF(F200="Pending",Dashboard!$B$2-D200,E200-D200)</f>
        <v>9</v>
      </c>
    </row>
    <row r="201" spans="1:7">
      <c r="A201" s="2" t="s">
        <v>219</v>
      </c>
      <c r="B201" s="2" t="s">
        <v>234</v>
      </c>
      <c r="C201" s="2" t="s">
        <v>248</v>
      </c>
      <c r="D201" s="3">
        <v>46280</v>
      </c>
      <c r="E201" s="3">
        <v>46283</v>
      </c>
      <c r="F201" s="2" t="s">
        <v>34</v>
      </c>
      <c r="G201">
        <f>IF(F201="Pending",Dashboard!$B$2-D201,E201-D201)</f>
        <v>3</v>
      </c>
    </row>
    <row r="202" spans="1:7">
      <c r="A202" s="2" t="s">
        <v>219</v>
      </c>
      <c r="B202" s="2" t="s">
        <v>236</v>
      </c>
      <c r="C202" s="2" t="s">
        <v>237</v>
      </c>
      <c r="D202" s="3">
        <v>46283</v>
      </c>
      <c r="E202" s="2"/>
      <c r="F202" s="2" t="s">
        <v>50</v>
      </c>
      <c r="G202">
        <f>IF(F202="Pending",Dashboard!$B$2-D202,E202-D202)</f>
        <v>12</v>
      </c>
    </row>
    <row r="203" spans="1:7">
      <c r="A203" s="2" t="s">
        <v>220</v>
      </c>
      <c r="B203" s="2" t="s">
        <v>234</v>
      </c>
      <c r="C203" s="2" t="s">
        <v>247</v>
      </c>
      <c r="D203" s="3">
        <v>46280</v>
      </c>
      <c r="E203" s="2"/>
      <c r="F203" s="2" t="s">
        <v>50</v>
      </c>
      <c r="G203">
        <f>IF(F203="Pending",Dashboard!$B$2-D203,E203-D203)</f>
        <v>15</v>
      </c>
    </row>
    <row r="204" spans="1:7">
      <c r="A204" s="2" t="s">
        <v>221</v>
      </c>
      <c r="B204" s="2" t="s">
        <v>234</v>
      </c>
      <c r="C204" s="2" t="s">
        <v>246</v>
      </c>
      <c r="D204" s="3">
        <v>46283</v>
      </c>
      <c r="E204" s="3">
        <v>46286</v>
      </c>
      <c r="F204" s="2" t="s">
        <v>34</v>
      </c>
      <c r="G204">
        <f>IF(F204="Pending",Dashboard!$B$2-D204,E204-D204)</f>
        <v>3</v>
      </c>
    </row>
    <row r="205" spans="1:7">
      <c r="A205" s="2" t="s">
        <v>221</v>
      </c>
      <c r="B205" s="2" t="s">
        <v>236</v>
      </c>
      <c r="C205" s="2" t="s">
        <v>243</v>
      </c>
      <c r="D205" s="3">
        <v>46286</v>
      </c>
      <c r="E205" s="3">
        <v>46289</v>
      </c>
      <c r="F205" s="2" t="s">
        <v>34</v>
      </c>
      <c r="G205">
        <f>IF(F205="Pending",Dashboard!$B$2-D205,E205-D205)</f>
        <v>3</v>
      </c>
    </row>
    <row r="206" spans="1:7">
      <c r="A206" s="2" t="s">
        <v>221</v>
      </c>
      <c r="B206" s="2" t="s">
        <v>238</v>
      </c>
      <c r="C206" s="2" t="s">
        <v>239</v>
      </c>
      <c r="D206" s="3">
        <v>46289</v>
      </c>
      <c r="E206" s="3">
        <v>46290</v>
      </c>
      <c r="F206" s="2" t="s">
        <v>34</v>
      </c>
      <c r="G206">
        <f>IF(F206="Pending",Dashboard!$B$2-D206,E206-D206)</f>
        <v>1</v>
      </c>
    </row>
    <row r="207" spans="1:7">
      <c r="A207" s="2" t="s">
        <v>222</v>
      </c>
      <c r="B207" s="2" t="s">
        <v>234</v>
      </c>
      <c r="C207" s="2" t="s">
        <v>251</v>
      </c>
      <c r="D207" s="3">
        <v>46287</v>
      </c>
      <c r="E207" s="3">
        <v>46290</v>
      </c>
      <c r="F207" s="2" t="s">
        <v>34</v>
      </c>
      <c r="G207">
        <f>IF(F207="Pending",Dashboard!$B$2-D207,E207-D207)</f>
        <v>3</v>
      </c>
    </row>
    <row r="208" spans="1:7">
      <c r="A208" s="2" t="s">
        <v>222</v>
      </c>
      <c r="B208" s="2" t="s">
        <v>236</v>
      </c>
      <c r="C208" s="2" t="s">
        <v>243</v>
      </c>
      <c r="D208" s="3">
        <v>46290</v>
      </c>
      <c r="E208" s="3">
        <v>46294</v>
      </c>
      <c r="F208" s="2" t="s">
        <v>34</v>
      </c>
      <c r="G208">
        <f>IF(F208="Pending",Dashboard!$B$2-D208,E208-D208)</f>
        <v>4</v>
      </c>
    </row>
    <row r="209" spans="1:7">
      <c r="A209" s="2" t="s">
        <v>222</v>
      </c>
      <c r="B209" s="2" t="s">
        <v>238</v>
      </c>
      <c r="C209" s="2" t="s">
        <v>239</v>
      </c>
      <c r="D209" s="3">
        <v>46294</v>
      </c>
      <c r="E209" s="2"/>
      <c r="F209" s="2" t="s">
        <v>50</v>
      </c>
      <c r="G209">
        <f>IF(F209="Pending",Dashboard!$B$2-D209,E209-D209)</f>
        <v>1</v>
      </c>
    </row>
    <row r="210" spans="1:7">
      <c r="A210" s="2" t="s">
        <v>223</v>
      </c>
      <c r="B210" s="2" t="s">
        <v>234</v>
      </c>
      <c r="C210" s="2" t="s">
        <v>245</v>
      </c>
      <c r="D210" s="3">
        <v>46287</v>
      </c>
      <c r="E210" s="3">
        <v>46287</v>
      </c>
      <c r="F210" s="2" t="s">
        <v>34</v>
      </c>
      <c r="G210">
        <f>IF(F210="Pending",Dashboard!$B$2-D210,E210-D210)</f>
        <v>0</v>
      </c>
    </row>
    <row r="211" spans="1:7">
      <c r="A211" s="2" t="s">
        <v>223</v>
      </c>
      <c r="B211" s="2" t="s">
        <v>236</v>
      </c>
      <c r="C211" s="2" t="s">
        <v>237</v>
      </c>
      <c r="D211" s="3">
        <v>46287</v>
      </c>
      <c r="E211" s="2"/>
      <c r="F211" s="2" t="s">
        <v>50</v>
      </c>
      <c r="G211">
        <f>IF(F211="Pending",Dashboard!$B$2-D211,E211-D211)</f>
        <v>8</v>
      </c>
    </row>
    <row r="212" spans="1:7">
      <c r="A212" s="2" t="s">
        <v>224</v>
      </c>
      <c r="B212" s="2" t="s">
        <v>234</v>
      </c>
      <c r="C212" s="2" t="s">
        <v>247</v>
      </c>
      <c r="D212" s="3">
        <v>46288</v>
      </c>
      <c r="E212" s="3">
        <v>46290</v>
      </c>
      <c r="F212" s="2" t="s">
        <v>34</v>
      </c>
      <c r="G212">
        <f>IF(F212="Pending",Dashboard!$B$2-D212,E212-D212)</f>
        <v>2</v>
      </c>
    </row>
    <row r="213" spans="1:7">
      <c r="A213" s="2" t="s">
        <v>224</v>
      </c>
      <c r="B213" s="2" t="s">
        <v>236</v>
      </c>
      <c r="C213" s="2" t="s">
        <v>243</v>
      </c>
      <c r="D213" s="3">
        <v>46290</v>
      </c>
      <c r="E213" s="2"/>
      <c r="F213" s="2" t="s">
        <v>50</v>
      </c>
      <c r="G213">
        <f>IF(F213="Pending",Dashboard!$B$2-D213,E213-D213)</f>
        <v>5</v>
      </c>
    </row>
    <row r="214" spans="1:7">
      <c r="A214" s="2" t="s">
        <v>225</v>
      </c>
      <c r="B214" s="2" t="s">
        <v>234</v>
      </c>
      <c r="C214" s="2" t="s">
        <v>242</v>
      </c>
      <c r="D214" s="3">
        <v>46289</v>
      </c>
      <c r="E214" s="3">
        <v>46290</v>
      </c>
      <c r="F214" s="2" t="s">
        <v>34</v>
      </c>
      <c r="G214">
        <f>IF(F214="Pending",Dashboard!$B$2-D214,E214-D214)</f>
        <v>1</v>
      </c>
    </row>
    <row r="215" spans="1:7">
      <c r="A215" s="2" t="s">
        <v>225</v>
      </c>
      <c r="B215" s="2" t="s">
        <v>236</v>
      </c>
      <c r="C215" s="2" t="s">
        <v>243</v>
      </c>
      <c r="D215" s="3">
        <v>46290</v>
      </c>
      <c r="E215" s="2"/>
      <c r="F215" s="2" t="s">
        <v>50</v>
      </c>
      <c r="G215">
        <f>IF(F215="Pending",Dashboard!$B$2-D215,E215-D215)</f>
        <v>5</v>
      </c>
    </row>
    <row r="216" spans="1:7">
      <c r="A216" s="2" t="s">
        <v>226</v>
      </c>
      <c r="B216" s="2" t="s">
        <v>234</v>
      </c>
      <c r="C216" s="2" t="s">
        <v>247</v>
      </c>
      <c r="D216" s="3">
        <v>46290</v>
      </c>
      <c r="E216" s="2"/>
      <c r="F216" s="2" t="s">
        <v>50</v>
      </c>
      <c r="G216">
        <f>IF(F216="Pending",Dashboard!$B$2-D216,E216-D216)</f>
        <v>5</v>
      </c>
    </row>
    <row r="217" spans="1:7">
      <c r="A217" s="2" t="s">
        <v>227</v>
      </c>
      <c r="B217" s="2" t="s">
        <v>234</v>
      </c>
      <c r="C217" s="2" t="s">
        <v>240</v>
      </c>
      <c r="D217" s="3">
        <v>46293</v>
      </c>
      <c r="E217" s="2"/>
      <c r="F217" s="2" t="s">
        <v>50</v>
      </c>
      <c r="G217">
        <f>IF(F217="Pending",Dashboard!$B$2-D217,E217-D217)</f>
        <v>2</v>
      </c>
    </row>
  </sheetData>
  <autoFilter ref="A1:F217" xr:uid="{00000000-0009-0000-0000-000002000000}"/>
  <conditionalFormatting sqref="A2:G217">
    <cfRule type="expression" dxfId="0" priority="1">
      <formula>AND($F2="Pending",$G2&gt;14)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7"/>
  <sheetViews>
    <sheetView workbookViewId="0">
      <pane ySplit="1" topLeftCell="I2" activePane="bottomLeft" state="frozen"/>
      <selection pane="bottomLeft" activeCell="N2" sqref="N2:N57"/>
    </sheetView>
  </sheetViews>
  <sheetFormatPr defaultRowHeight="14.45"/>
  <cols>
    <col min="1" max="1" width="9" customWidth="1"/>
    <col min="2" max="2" width="14" customWidth="1"/>
    <col min="3" max="3" width="32" customWidth="1"/>
    <col min="4" max="4" width="22" customWidth="1"/>
    <col min="5" max="5" width="17" customWidth="1"/>
    <col min="6" max="6" width="16" customWidth="1"/>
    <col min="7" max="8" width="13" customWidth="1"/>
    <col min="9" max="9" width="11" customWidth="1"/>
    <col min="10" max="10" width="18" customWidth="1"/>
    <col min="11" max="11" width="17" customWidth="1"/>
    <col min="12" max="12" width="11" customWidth="1"/>
    <col min="13" max="13" width="10.42578125" customWidth="1"/>
    <col min="14" max="14" width="11.5703125" customWidth="1"/>
    <col min="15" max="15" width="15.85546875" customWidth="1"/>
    <col min="16" max="16" width="25" customWidth="1"/>
    <col min="17" max="17" width="11.140625" customWidth="1"/>
    <col min="18" max="18" width="14.5703125" customWidth="1"/>
    <col min="19" max="19" width="15" customWidth="1"/>
    <col min="20" max="20" width="13" customWidth="1"/>
    <col min="21" max="21" width="14.42578125" customWidth="1"/>
    <col min="22" max="22" width="14.42578125" style="4" customWidth="1"/>
    <col min="23" max="23" width="12.85546875" customWidth="1"/>
    <col min="24" max="24" width="11.85546875" customWidth="1"/>
    <col min="25" max="25" width="21" customWidth="1"/>
  </cols>
  <sheetData>
    <row r="1" spans="1:25" ht="15">
      <c r="A1" s="1" t="s">
        <v>252</v>
      </c>
      <c r="B1" s="1" t="s">
        <v>253</v>
      </c>
      <c r="C1" s="1" t="s">
        <v>59</v>
      </c>
      <c r="D1" s="1" t="s">
        <v>58</v>
      </c>
      <c r="E1" s="1" t="s">
        <v>57</v>
      </c>
      <c r="F1" s="1" t="s">
        <v>254</v>
      </c>
      <c r="G1" s="1" t="s">
        <v>62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4" t="s">
        <v>261</v>
      </c>
      <c r="O1" s="14" t="s">
        <v>262</v>
      </c>
      <c r="P1" s="14" t="s">
        <v>263</v>
      </c>
      <c r="Q1" s="14" t="s">
        <v>264</v>
      </c>
      <c r="R1" s="14" t="s">
        <v>265</v>
      </c>
      <c r="S1" s="14" t="s">
        <v>266</v>
      </c>
      <c r="T1" s="14" t="s">
        <v>267</v>
      </c>
      <c r="U1" s="14" t="s">
        <v>268</v>
      </c>
      <c r="V1" s="14" t="s">
        <v>269</v>
      </c>
      <c r="W1" s="14" t="s">
        <v>270</v>
      </c>
      <c r="X1" s="14" t="s">
        <v>271</v>
      </c>
      <c r="Y1" s="14" t="s">
        <v>272</v>
      </c>
    </row>
    <row r="2" spans="1:25">
      <c r="A2" s="2">
        <v>4101</v>
      </c>
      <c r="B2" s="2" t="s">
        <v>79</v>
      </c>
      <c r="C2" s="2" t="s">
        <v>82</v>
      </c>
      <c r="D2" s="2" t="s">
        <v>81</v>
      </c>
      <c r="E2" s="2" t="s">
        <v>80</v>
      </c>
      <c r="F2" s="2" t="s">
        <v>273</v>
      </c>
      <c r="G2" s="2" t="s">
        <v>83</v>
      </c>
      <c r="H2" s="3">
        <v>46044</v>
      </c>
      <c r="I2" s="2" t="s">
        <v>274</v>
      </c>
      <c r="J2" s="3">
        <v>46076</v>
      </c>
      <c r="K2" s="2" t="s">
        <v>275</v>
      </c>
      <c r="L2" s="2">
        <v>45</v>
      </c>
      <c r="M2" t="str">
        <f>TRIM(SUBSTITUTE(B2,CHAR(160),""))</f>
        <v>RR-26-0002</v>
      </c>
      <c r="N2" t="str">
        <f>IF(M2="","Not found",_xlfn.XLOOKUP(M2,ReqSite_Export!$A$2:$A$82,ReqSite_Export!$J$2:$J$82,"Not found"))</f>
        <v>Approved</v>
      </c>
      <c r="O2" t="str">
        <f>IF(N2="Not found","No request on file",IF(N2&lt;&gt;"Approved","Opened before approval","OK"))</f>
        <v>OK</v>
      </c>
      <c r="P2" t="str">
        <f>IF(N2="Not found","",_xlfn.XLOOKUP(M2,ReqSite_Export!$A$2:$A$82,ReqSite_Export!$E$2:$E$82,""))</f>
        <v>Research Director</v>
      </c>
      <c r="Q2" t="b">
        <f>IF(P2="","",TRIM(C2)=TRIM(P2))</f>
        <v>1</v>
      </c>
      <c r="R2" t="str">
        <f>IF(N2="Not found","",_xlfn.XLOOKUP(M2,ReqSite_Export!$A$2:$A$82,ReqSite_Export!$C$2:$C$82,""))</f>
        <v>Elena Vasquez</v>
      </c>
      <c r="S2" t="b">
        <f>IF(R2="","",TRIM(E2)=TRIM(R2))</f>
        <v>1</v>
      </c>
      <c r="T2" t="str">
        <f>IF(N2="Not found","",_xlfn.XLOOKUP(M2,ReqSite_Export!$A$2:$A$82,ReqSite_Export!$D$2:$D$82,""))</f>
        <v>Research</v>
      </c>
      <c r="U2" t="b">
        <f>IF(T2="","",TRIM(D2)=_xlfn.XLOOKUP(T2,Dept_Map!$A$2:$A$11,Dept_Map!$B$2:$B$11,""))</f>
        <v>1</v>
      </c>
      <c r="V2" s="4">
        <f>IF(ISTEXT(H2),DATEVALUE(H2),H2)</f>
        <v>46044</v>
      </c>
      <c r="W2">
        <f>IF(N2&lt;&gt;"Approved","",V2-_xlfn.XLOOKUP(M2,ReqSite_Export!$A$2:$A$82,ReqSite_Export!$K$2:$K$82))</f>
        <v>1</v>
      </c>
      <c r="X2">
        <f>IF(AND(I2="Filled",N2="Approved"),J2-_xlfn.XLOOKUP(M2,ReqSite_Export!$A$2:$A$82,ReqSite_Export!$K$2:$K$82),"")</f>
        <v>33</v>
      </c>
      <c r="Y2" t="str">
        <f>TRIM(D2)</f>
        <v>Research</v>
      </c>
    </row>
    <row r="3" spans="1:25">
      <c r="A3" s="2">
        <v>4102</v>
      </c>
      <c r="B3" s="2" t="s">
        <v>84</v>
      </c>
      <c r="C3" s="2" t="s">
        <v>87</v>
      </c>
      <c r="D3" s="2" t="s">
        <v>86</v>
      </c>
      <c r="E3" s="2" t="s">
        <v>85</v>
      </c>
      <c r="F3" s="2" t="s">
        <v>276</v>
      </c>
      <c r="G3" s="2" t="s">
        <v>78</v>
      </c>
      <c r="H3" s="3">
        <v>46048</v>
      </c>
      <c r="I3" s="2" t="s">
        <v>274</v>
      </c>
      <c r="J3" s="3">
        <v>46087</v>
      </c>
      <c r="K3" s="2" t="s">
        <v>275</v>
      </c>
      <c r="L3" s="2">
        <v>62</v>
      </c>
      <c r="M3" t="str">
        <f t="shared" ref="M3:M57" si="0">TRIM(SUBSTITUTE(B3,CHAR(160),""))</f>
        <v>RR-26-0003</v>
      </c>
      <c r="N3" t="str">
        <f>IF(M3="","Not found",_xlfn.XLOOKUP(M3,ReqSite_Export!$A$2:$A$82,ReqSite_Export!$J$2:$J$82,"Not found"))</f>
        <v>Approved</v>
      </c>
      <c r="O3" t="str">
        <f t="shared" ref="O3:O57" si="1">IF(N3="Not found","No request on file",IF(N3&lt;&gt;"Approved","Opened before approval","OK"))</f>
        <v>OK</v>
      </c>
      <c r="P3" t="str">
        <f>IF(N3="Not found","",_xlfn.XLOOKUP(M3,ReqSite_Export!$A$2:$A$82,ReqSite_Export!$E$2:$E$82,""))</f>
        <v>Sales Operations Analyst</v>
      </c>
      <c r="Q3" t="b">
        <f t="shared" ref="Q3:Q57" si="2">IF(P3="","",TRIM(C3)=TRIM(P3))</f>
        <v>1</v>
      </c>
      <c r="R3" t="str">
        <f>IF(N3="Not found","",_xlfn.XLOOKUP(M3,ReqSite_Export!$A$2:$A$82,ReqSite_Export!$C$2:$C$82,""))</f>
        <v>Carlos Mendes</v>
      </c>
      <c r="S3" t="b">
        <f t="shared" ref="S3:S57" si="3">IF(R3="","",TRIM(E3)=TRIM(R3))</f>
        <v>1</v>
      </c>
      <c r="T3" t="str">
        <f>IF(N3="Not found","",_xlfn.XLOOKUP(M3,ReqSite_Export!$A$2:$A$82,ReqSite_Export!$D$2:$D$82,""))</f>
        <v>Sales</v>
      </c>
      <c r="U3" t="b">
        <f>IF(T3="","",TRIM(D3)=_xlfn.XLOOKUP(T3,Dept_Map!$A$2:$A$11,Dept_Map!$B$2:$B$11,""))</f>
        <v>1</v>
      </c>
      <c r="V3" s="4">
        <f t="shared" ref="V3:V57" si="4">IF(ISTEXT(H3),DATEVALUE(H3),H3)</f>
        <v>46048</v>
      </c>
      <c r="W3">
        <f>IF(N3&lt;&gt;"Approved","",V3-_xlfn.XLOOKUP(M3,ReqSite_Export!$A$2:$A$82,ReqSite_Export!$K$2:$K$82))</f>
        <v>3</v>
      </c>
      <c r="X3">
        <f>IF(AND(I3="Filled",N3="Approved"),J3-_xlfn.XLOOKUP(M3,ReqSite_Export!$A$2:$A$82,ReqSite_Export!$K$2:$K$82),"")</f>
        <v>42</v>
      </c>
      <c r="Y3" t="str">
        <f t="shared" ref="Y3:Y57" si="5">TRIM(D3)</f>
        <v>Sales</v>
      </c>
    </row>
    <row r="4" spans="1:25">
      <c r="A4" s="2">
        <v>4103</v>
      </c>
      <c r="B4" s="2" t="s">
        <v>72</v>
      </c>
      <c r="C4" s="2" t="s">
        <v>75</v>
      </c>
      <c r="D4" s="2" t="s">
        <v>277</v>
      </c>
      <c r="E4" s="2" t="s">
        <v>73</v>
      </c>
      <c r="F4" s="2" t="s">
        <v>278</v>
      </c>
      <c r="G4" s="2" t="s">
        <v>78</v>
      </c>
      <c r="H4" s="3">
        <v>46050</v>
      </c>
      <c r="I4" s="2" t="s">
        <v>274</v>
      </c>
      <c r="J4" s="3">
        <v>46079</v>
      </c>
      <c r="K4" s="2" t="s">
        <v>279</v>
      </c>
      <c r="L4" s="2">
        <v>60</v>
      </c>
      <c r="M4" t="str">
        <f t="shared" si="0"/>
        <v>RR-26-0001</v>
      </c>
      <c r="N4" t="str">
        <f>IF(M4="","Not found",_xlfn.XLOOKUP(M4,ReqSite_Export!$A$2:$A$82,ReqSite_Export!$J$2:$J$82,"Not found"))</f>
        <v>Approved</v>
      </c>
      <c r="O4" t="str">
        <f t="shared" si="1"/>
        <v>OK</v>
      </c>
      <c r="P4" t="str">
        <f>IF(N4="Not found","",_xlfn.XLOOKUP(M4,ReqSite_Export!$A$2:$A$82,ReqSite_Export!$E$2:$E$82,""))</f>
        <v>Systems Administrator</v>
      </c>
      <c r="Q4" t="b">
        <f t="shared" si="2"/>
        <v>1</v>
      </c>
      <c r="R4" t="str">
        <f>IF(N4="Not found","",_xlfn.XLOOKUP(M4,ReqSite_Export!$A$2:$A$82,ReqSite_Export!$C$2:$C$82,""))</f>
        <v>Kevin Doyle</v>
      </c>
      <c r="S4" t="b">
        <f t="shared" si="3"/>
        <v>1</v>
      </c>
      <c r="T4" t="str">
        <f>IF(N4="Not found","",_xlfn.XLOOKUP(M4,ReqSite_Export!$A$2:$A$82,ReqSite_Export!$D$2:$D$82,""))</f>
        <v>IT</v>
      </c>
      <c r="U4" t="b">
        <f>IF(T4="","",TRIM(D4)=_xlfn.XLOOKUP(T4,Dept_Map!$A$2:$A$11,Dept_Map!$B$2:$B$11,""))</f>
        <v>1</v>
      </c>
      <c r="V4" s="4">
        <f t="shared" si="4"/>
        <v>46050</v>
      </c>
      <c r="W4">
        <f>IF(N4&lt;&gt;"Approved","",V4-_xlfn.XLOOKUP(M4,ReqSite_Export!$A$2:$A$82,ReqSite_Export!$K$2:$K$82))</f>
        <v>2</v>
      </c>
      <c r="X4">
        <f>IF(AND(I4="Filled",N4="Approved"),J4-_xlfn.XLOOKUP(M4,ReqSite_Export!$A$2:$A$82,ReqSite_Export!$K$2:$K$82),"")</f>
        <v>31</v>
      </c>
      <c r="Y4" t="str">
        <f t="shared" si="5"/>
        <v>Information Technology</v>
      </c>
    </row>
    <row r="5" spans="1:25">
      <c r="A5" s="2">
        <v>4104</v>
      </c>
      <c r="B5" s="2" t="s">
        <v>98</v>
      </c>
      <c r="C5" s="2" t="s">
        <v>101</v>
      </c>
      <c r="D5" s="2" t="s">
        <v>100</v>
      </c>
      <c r="E5" s="2" t="s">
        <v>99</v>
      </c>
      <c r="F5" s="2" t="s">
        <v>280</v>
      </c>
      <c r="G5" s="2" t="s">
        <v>78</v>
      </c>
      <c r="H5" s="3">
        <v>46055</v>
      </c>
      <c r="I5" s="2" t="s">
        <v>274</v>
      </c>
      <c r="J5" s="3">
        <v>46127</v>
      </c>
      <c r="K5" s="2" t="s">
        <v>281</v>
      </c>
      <c r="L5" s="2">
        <v>42</v>
      </c>
      <c r="M5" t="str">
        <f t="shared" si="0"/>
        <v>RR-26-0006</v>
      </c>
      <c r="N5" t="str">
        <f>IF(M5="","Not found",_xlfn.XLOOKUP(M5,ReqSite_Export!$A$2:$A$82,ReqSite_Export!$J$2:$J$82,"Not found"))</f>
        <v>Approved</v>
      </c>
      <c r="O5" t="str">
        <f t="shared" si="1"/>
        <v>OK</v>
      </c>
      <c r="P5" t="str">
        <f>IF(N5="Not found","",_xlfn.XLOOKUP(M5,ReqSite_Export!$A$2:$A$82,ReqSite_Export!$E$2:$E$82,""))</f>
        <v>Financial Analyst</v>
      </c>
      <c r="Q5" t="b">
        <f t="shared" si="2"/>
        <v>1</v>
      </c>
      <c r="R5" t="str">
        <f>IF(N5="Not found","",_xlfn.XLOOKUP(M5,ReqSite_Export!$A$2:$A$82,ReqSite_Export!$C$2:$C$82,""))</f>
        <v>Paul Mercer</v>
      </c>
      <c r="S5" t="b">
        <f t="shared" si="3"/>
        <v>1</v>
      </c>
      <c r="T5" t="str">
        <f>IF(N5="Not found","",_xlfn.XLOOKUP(M5,ReqSite_Export!$A$2:$A$82,ReqSite_Export!$D$2:$D$82,""))</f>
        <v>Finance</v>
      </c>
      <c r="U5" t="b">
        <f>IF(T5="","",TRIM(D5)=_xlfn.XLOOKUP(T5,Dept_Map!$A$2:$A$11,Dept_Map!$B$2:$B$11,""))</f>
        <v>1</v>
      </c>
      <c r="V5" s="4">
        <f t="shared" si="4"/>
        <v>46055</v>
      </c>
      <c r="W5">
        <f>IF(N5&lt;&gt;"Approved","",V5-_xlfn.XLOOKUP(M5,ReqSite_Export!$A$2:$A$82,ReqSite_Export!$K$2:$K$82))</f>
        <v>0</v>
      </c>
      <c r="X5">
        <f>IF(AND(I5="Filled",N5="Approved"),J5-_xlfn.XLOOKUP(M5,ReqSite_Export!$A$2:$A$82,ReqSite_Export!$K$2:$K$82),"")</f>
        <v>72</v>
      </c>
      <c r="Y5" t="str">
        <f t="shared" si="5"/>
        <v>Finance</v>
      </c>
    </row>
    <row r="6" spans="1:25">
      <c r="A6" s="2">
        <v>4105</v>
      </c>
      <c r="B6" s="2" t="s">
        <v>102</v>
      </c>
      <c r="C6" s="2" t="s">
        <v>105</v>
      </c>
      <c r="D6" s="2" t="s">
        <v>282</v>
      </c>
      <c r="E6" s="2" t="s">
        <v>103</v>
      </c>
      <c r="F6" s="2" t="s">
        <v>278</v>
      </c>
      <c r="G6" s="2" t="s">
        <v>93</v>
      </c>
      <c r="H6" s="3">
        <v>46058</v>
      </c>
      <c r="I6" s="2" t="s">
        <v>274</v>
      </c>
      <c r="J6" s="3">
        <v>46113</v>
      </c>
      <c r="K6" s="2" t="s">
        <v>279</v>
      </c>
      <c r="L6" s="2">
        <v>44</v>
      </c>
      <c r="M6" t="str">
        <f t="shared" si="0"/>
        <v>RR-26-0007</v>
      </c>
      <c r="N6" t="str">
        <f>IF(M6="","Not found",_xlfn.XLOOKUP(M6,ReqSite_Export!$A$2:$A$82,ReqSite_Export!$J$2:$J$82,"Not found"))</f>
        <v>Approved</v>
      </c>
      <c r="O6" t="str">
        <f t="shared" si="1"/>
        <v>OK</v>
      </c>
      <c r="P6" t="str">
        <f>IF(N6="Not found","",_xlfn.XLOOKUP(M6,ReqSite_Export!$A$2:$A$82,ReqSite_Export!$E$2:$E$82,""))</f>
        <v>Product Manager</v>
      </c>
      <c r="Q6" t="b">
        <f t="shared" si="2"/>
        <v>1</v>
      </c>
      <c r="R6" t="str">
        <f>IF(N6="Not found","",_xlfn.XLOOKUP(M6,ReqSite_Export!$A$2:$A$82,ReqSite_Export!$C$2:$C$82,""))</f>
        <v>Daniel Osei</v>
      </c>
      <c r="S6" t="b">
        <f t="shared" si="3"/>
        <v>1</v>
      </c>
      <c r="T6" t="str">
        <f>IF(N6="Not found","",_xlfn.XLOOKUP(M6,ReqSite_Export!$A$2:$A$82,ReqSite_Export!$D$2:$D$82,""))</f>
        <v>Product</v>
      </c>
      <c r="U6" t="b">
        <f>IF(T6="","",TRIM(D6)=_xlfn.XLOOKUP(T6,Dept_Map!$A$2:$A$11,Dept_Map!$B$2:$B$11,""))</f>
        <v>1</v>
      </c>
      <c r="V6" s="4">
        <f t="shared" si="4"/>
        <v>46058</v>
      </c>
      <c r="W6">
        <f>IF(N6&lt;&gt;"Approved","",V6-_xlfn.XLOOKUP(M6,ReqSite_Export!$A$2:$A$82,ReqSite_Export!$K$2:$K$82))</f>
        <v>3</v>
      </c>
      <c r="X6">
        <f>IF(AND(I6="Filled",N6="Approved"),J6-_xlfn.XLOOKUP(M6,ReqSite_Export!$A$2:$A$82,ReqSite_Export!$K$2:$K$82),"")</f>
        <v>58</v>
      </c>
      <c r="Y6" t="str">
        <f t="shared" si="5"/>
        <v>Product Mgmt</v>
      </c>
    </row>
    <row r="7" spans="1:25">
      <c r="A7" s="2">
        <v>4106</v>
      </c>
      <c r="B7" s="2" t="s">
        <v>90</v>
      </c>
      <c r="C7" s="2" t="s">
        <v>92</v>
      </c>
      <c r="D7" s="2" t="s">
        <v>86</v>
      </c>
      <c r="E7" s="2" t="s">
        <v>91</v>
      </c>
      <c r="F7" s="2" t="s">
        <v>276</v>
      </c>
      <c r="G7" s="2" t="s">
        <v>93</v>
      </c>
      <c r="H7" s="3">
        <v>46064</v>
      </c>
      <c r="I7" s="2" t="s">
        <v>274</v>
      </c>
      <c r="J7" s="3">
        <v>46106</v>
      </c>
      <c r="K7" s="2" t="s">
        <v>283</v>
      </c>
      <c r="L7" s="2">
        <v>75</v>
      </c>
      <c r="M7" t="str">
        <f t="shared" si="0"/>
        <v>RR-26-0004</v>
      </c>
      <c r="N7" t="str">
        <f>IF(M7="","Not found",_xlfn.XLOOKUP(M7,ReqSite_Export!$A$2:$A$82,ReqSite_Export!$J$2:$J$82,"Not found"))</f>
        <v>Approved</v>
      </c>
      <c r="O7" t="str">
        <f t="shared" si="1"/>
        <v>OK</v>
      </c>
      <c r="P7" t="str">
        <f>IF(N7="Not found","",_xlfn.XLOOKUP(M7,ReqSite_Export!$A$2:$A$82,ReqSite_Export!$E$2:$E$82,""))</f>
        <v>Account Executive</v>
      </c>
      <c r="Q7" t="b">
        <f t="shared" si="2"/>
        <v>1</v>
      </c>
      <c r="R7" t="str">
        <f>IF(N7="Not found","",_xlfn.XLOOKUP(M7,ReqSite_Export!$A$2:$A$82,ReqSite_Export!$C$2:$C$82,""))</f>
        <v>Michael Grant</v>
      </c>
      <c r="S7" t="b">
        <f t="shared" si="3"/>
        <v>1</v>
      </c>
      <c r="T7" t="str">
        <f>IF(N7="Not found","",_xlfn.XLOOKUP(M7,ReqSite_Export!$A$2:$A$82,ReqSite_Export!$D$2:$D$82,""))</f>
        <v>Sales</v>
      </c>
      <c r="U7" t="b">
        <f>IF(T7="","",TRIM(D7)=_xlfn.XLOOKUP(T7,Dept_Map!$A$2:$A$11,Dept_Map!$B$2:$B$11,""))</f>
        <v>1</v>
      </c>
      <c r="V7" s="4">
        <f t="shared" si="4"/>
        <v>46064</v>
      </c>
      <c r="W7">
        <f>IF(N7&lt;&gt;"Approved","",V7-_xlfn.XLOOKUP(M7,ReqSite_Export!$A$2:$A$82,ReqSite_Export!$K$2:$K$82))</f>
        <v>16</v>
      </c>
      <c r="X7">
        <f>IF(AND(I7="Filled",N7="Approved"),J7-_xlfn.XLOOKUP(M7,ReqSite_Export!$A$2:$A$82,ReqSite_Export!$K$2:$K$82),"")</f>
        <v>58</v>
      </c>
      <c r="Y7" t="str">
        <f t="shared" si="5"/>
        <v>Sales</v>
      </c>
    </row>
    <row r="8" spans="1:25">
      <c r="A8" s="2">
        <v>4107</v>
      </c>
      <c r="B8" s="2" t="s">
        <v>94</v>
      </c>
      <c r="C8" s="2" t="s">
        <v>97</v>
      </c>
      <c r="D8" s="2" t="s">
        <v>96</v>
      </c>
      <c r="E8" s="2" t="s">
        <v>95</v>
      </c>
      <c r="F8" s="2" t="s">
        <v>276</v>
      </c>
      <c r="G8" s="2" t="s">
        <v>78</v>
      </c>
      <c r="H8" s="3">
        <v>46064</v>
      </c>
      <c r="I8" s="2" t="s">
        <v>274</v>
      </c>
      <c r="J8" s="3">
        <v>46125</v>
      </c>
      <c r="K8" s="2" t="s">
        <v>283</v>
      </c>
      <c r="L8" s="2">
        <v>41</v>
      </c>
      <c r="M8" t="str">
        <f t="shared" si="0"/>
        <v>RR-26-0005</v>
      </c>
      <c r="N8" t="str">
        <f>IF(M8="","Not found",_xlfn.XLOOKUP(M8,ReqSite_Export!$A$2:$A$82,ReqSite_Export!$J$2:$J$82,"Not found"))</f>
        <v>Approved</v>
      </c>
      <c r="O8" t="str">
        <f t="shared" si="1"/>
        <v>OK</v>
      </c>
      <c r="P8" t="str">
        <f>IF(N8="Not found","",_xlfn.XLOOKUP(M8,ReqSite_Export!$A$2:$A$82,ReqSite_Export!$E$2:$E$82,""))</f>
        <v>Event Coordinator</v>
      </c>
      <c r="Q8" t="b">
        <f t="shared" si="2"/>
        <v>1</v>
      </c>
      <c r="R8" t="str">
        <f>IF(N8="Not found","",_xlfn.XLOOKUP(M8,ReqSite_Export!$A$2:$A$82,ReqSite_Export!$C$2:$C$82,""))</f>
        <v>Victor Salgado</v>
      </c>
      <c r="S8" t="b">
        <f t="shared" si="3"/>
        <v>1</v>
      </c>
      <c r="T8" t="str">
        <f>IF(N8="Not found","",_xlfn.XLOOKUP(M8,ReqSite_Export!$A$2:$A$82,ReqSite_Export!$D$2:$D$82,""))</f>
        <v>Events</v>
      </c>
      <c r="U8" t="b">
        <f>IF(T8="","",TRIM(D8)=_xlfn.XLOOKUP(T8,Dept_Map!$A$2:$A$11,Dept_Map!$B$2:$B$11,""))</f>
        <v>1</v>
      </c>
      <c r="V8" s="4">
        <f t="shared" si="4"/>
        <v>46064</v>
      </c>
      <c r="W8">
        <f>IF(N8&lt;&gt;"Approved","",V8-_xlfn.XLOOKUP(M8,ReqSite_Export!$A$2:$A$82,ReqSite_Export!$K$2:$K$82))</f>
        <v>16</v>
      </c>
      <c r="X8">
        <f>IF(AND(I8="Filled",N8="Approved"),J8-_xlfn.XLOOKUP(M8,ReqSite_Export!$A$2:$A$82,ReqSite_Export!$K$2:$K$82),"")</f>
        <v>77</v>
      </c>
      <c r="Y8" t="str">
        <f t="shared" si="5"/>
        <v>Events</v>
      </c>
    </row>
    <row r="9" spans="1:25">
      <c r="A9" s="2">
        <v>4108</v>
      </c>
      <c r="B9" s="2" t="s">
        <v>106</v>
      </c>
      <c r="C9" s="2" t="s">
        <v>87</v>
      </c>
      <c r="D9" s="2" t="s">
        <v>86</v>
      </c>
      <c r="E9" s="2" t="s">
        <v>107</v>
      </c>
      <c r="F9" s="2" t="s">
        <v>276</v>
      </c>
      <c r="G9" s="2" t="s">
        <v>78</v>
      </c>
      <c r="H9" s="3">
        <v>46066</v>
      </c>
      <c r="I9" s="2" t="s">
        <v>274</v>
      </c>
      <c r="J9" s="3">
        <v>46136</v>
      </c>
      <c r="K9" s="2" t="s">
        <v>281</v>
      </c>
      <c r="L9" s="2">
        <v>31</v>
      </c>
      <c r="M9" t="str">
        <f t="shared" si="0"/>
        <v>RR-26-0008</v>
      </c>
      <c r="N9" t="str">
        <f>IF(M9="","Not found",_xlfn.XLOOKUP(M9,ReqSite_Export!$A$2:$A$82,ReqSite_Export!$J$2:$J$82,"Not found"))</f>
        <v>Approved</v>
      </c>
      <c r="O9" t="str">
        <f t="shared" si="1"/>
        <v>OK</v>
      </c>
      <c r="P9" t="str">
        <f>IF(N9="Not found","",_xlfn.XLOOKUP(M9,ReqSite_Export!$A$2:$A$82,ReqSite_Export!$E$2:$E$82,""))</f>
        <v>Sales Operations Analyst</v>
      </c>
      <c r="Q9" t="b">
        <f t="shared" si="2"/>
        <v>1</v>
      </c>
      <c r="R9" t="str">
        <f>IF(N9="Not found","",_xlfn.XLOOKUP(M9,ReqSite_Export!$A$2:$A$82,ReqSite_Export!$C$2:$C$82,""))</f>
        <v>Jasmine Reid</v>
      </c>
      <c r="S9" t="b">
        <f t="shared" si="3"/>
        <v>1</v>
      </c>
      <c r="T9" t="str">
        <f>IF(N9="Not found","",_xlfn.XLOOKUP(M9,ReqSite_Export!$A$2:$A$82,ReqSite_Export!$D$2:$D$82,""))</f>
        <v>Sales</v>
      </c>
      <c r="U9" t="b">
        <f>IF(T9="","",TRIM(D9)=_xlfn.XLOOKUP(T9,Dept_Map!$A$2:$A$11,Dept_Map!$B$2:$B$11,""))</f>
        <v>1</v>
      </c>
      <c r="V9" s="4">
        <f t="shared" si="4"/>
        <v>46066</v>
      </c>
      <c r="W9">
        <f>IF(N9&lt;&gt;"Approved","",V9-_xlfn.XLOOKUP(M9,ReqSite_Export!$A$2:$A$82,ReqSite_Export!$K$2:$K$82))</f>
        <v>14</v>
      </c>
      <c r="X9">
        <f>IF(AND(I9="Filled",N9="Approved"),J9-_xlfn.XLOOKUP(M9,ReqSite_Export!$A$2:$A$82,ReqSite_Export!$K$2:$K$82),"")</f>
        <v>84</v>
      </c>
      <c r="Y9" t="str">
        <f t="shared" si="5"/>
        <v>Sales</v>
      </c>
    </row>
    <row r="10" spans="1:25">
      <c r="A10" s="2">
        <v>4109</v>
      </c>
      <c r="B10" s="2" t="s">
        <v>108</v>
      </c>
      <c r="C10" s="2" t="s">
        <v>92</v>
      </c>
      <c r="D10" s="2" t="s">
        <v>284</v>
      </c>
      <c r="E10" s="2" t="s">
        <v>85</v>
      </c>
      <c r="F10" s="2" t="s">
        <v>276</v>
      </c>
      <c r="G10" s="2" t="s">
        <v>93</v>
      </c>
      <c r="H10" s="3">
        <v>46076</v>
      </c>
      <c r="I10" s="2" t="s">
        <v>274</v>
      </c>
      <c r="J10" s="3">
        <v>46132</v>
      </c>
      <c r="K10" s="2" t="s">
        <v>285</v>
      </c>
      <c r="L10" s="2">
        <v>54</v>
      </c>
      <c r="M10" t="str">
        <f t="shared" si="0"/>
        <v>RR-26-0009</v>
      </c>
      <c r="N10" t="str">
        <f>IF(M10="","Not found",_xlfn.XLOOKUP(M10,ReqSite_Export!$A$2:$A$82,ReqSite_Export!$J$2:$J$82,"Not found"))</f>
        <v>Approved</v>
      </c>
      <c r="O10" t="str">
        <f t="shared" si="1"/>
        <v>OK</v>
      </c>
      <c r="P10" t="str">
        <f>IF(N10="Not found","",_xlfn.XLOOKUP(M10,ReqSite_Export!$A$2:$A$82,ReqSite_Export!$E$2:$E$82,""))</f>
        <v>Account Executive</v>
      </c>
      <c r="Q10" t="b">
        <f t="shared" si="2"/>
        <v>1</v>
      </c>
      <c r="R10" t="str">
        <f>IF(N10="Not found","",_xlfn.XLOOKUP(M10,ReqSite_Export!$A$2:$A$82,ReqSite_Export!$C$2:$C$82,""))</f>
        <v>Carlos Mendes</v>
      </c>
      <c r="S10" t="b">
        <f t="shared" si="3"/>
        <v>1</v>
      </c>
      <c r="T10" t="str">
        <f>IF(N10="Not found","",_xlfn.XLOOKUP(M10,ReqSite_Export!$A$2:$A$82,ReqSite_Export!$D$2:$D$82,""))</f>
        <v>Sales</v>
      </c>
      <c r="U10" t="b">
        <f>IF(T10="","",TRIM(D10)=_xlfn.XLOOKUP(T10,Dept_Map!$A$2:$A$11,Dept_Map!$B$2:$B$11,""))</f>
        <v>1</v>
      </c>
      <c r="V10" s="4">
        <f t="shared" si="4"/>
        <v>46076</v>
      </c>
      <c r="W10">
        <f>IF(N10&lt;&gt;"Approved","",V10-_xlfn.XLOOKUP(M10,ReqSite_Export!$A$2:$A$82,ReqSite_Export!$K$2:$K$82))</f>
        <v>6</v>
      </c>
      <c r="X10">
        <f>IF(AND(I10="Filled",N10="Approved"),J10-_xlfn.XLOOKUP(M10,ReqSite_Export!$A$2:$A$82,ReqSite_Export!$K$2:$K$82),"")</f>
        <v>62</v>
      </c>
      <c r="Y10" t="str">
        <f t="shared" si="5"/>
        <v>Sales</v>
      </c>
    </row>
    <row r="11" spans="1:25">
      <c r="A11" s="2">
        <v>4110</v>
      </c>
      <c r="B11" s="2" t="s">
        <v>112</v>
      </c>
      <c r="C11" s="2" t="s">
        <v>115</v>
      </c>
      <c r="D11" s="2" t="s">
        <v>286</v>
      </c>
      <c r="E11" s="2" t="s">
        <v>113</v>
      </c>
      <c r="F11" s="2" t="s">
        <v>276</v>
      </c>
      <c r="G11" s="2" t="s">
        <v>93</v>
      </c>
      <c r="H11" s="3">
        <v>46076</v>
      </c>
      <c r="I11" s="2" t="s">
        <v>274</v>
      </c>
      <c r="J11" s="3">
        <v>46148</v>
      </c>
      <c r="K11" s="2" t="s">
        <v>283</v>
      </c>
      <c r="L11" s="2">
        <v>53</v>
      </c>
      <c r="M11" t="str">
        <f t="shared" si="0"/>
        <v>RR-26-0011</v>
      </c>
      <c r="N11" t="str">
        <f>IF(M11="","Not found",_xlfn.XLOOKUP(M11,ReqSite_Export!$A$2:$A$82,ReqSite_Export!$J$2:$J$82,"Not found"))</f>
        <v>Approved</v>
      </c>
      <c r="O11" t="str">
        <f t="shared" si="1"/>
        <v>OK</v>
      </c>
      <c r="P11" t="str">
        <f>IF(N11="Not found","",_xlfn.XLOOKUP(M11,ReqSite_Export!$A$2:$A$82,ReqSite_Export!$E$2:$E$82,""))</f>
        <v>Product Marketing Manager</v>
      </c>
      <c r="Q11" t="b">
        <f t="shared" si="2"/>
        <v>1</v>
      </c>
      <c r="R11" t="str">
        <f>IF(N11="Not found","",_xlfn.XLOOKUP(M11,ReqSite_Export!$A$2:$A$82,ReqSite_Export!$C$2:$C$82,""))</f>
        <v>Olivia Chen</v>
      </c>
      <c r="S11" t="b">
        <f t="shared" si="3"/>
        <v>1</v>
      </c>
      <c r="T11" t="str">
        <f>IF(N11="Not found","",_xlfn.XLOOKUP(M11,ReqSite_Export!$A$2:$A$82,ReqSite_Export!$D$2:$D$82,""))</f>
        <v>Marketing</v>
      </c>
      <c r="U11" t="b">
        <f>IF(T11="","",TRIM(D11)=_xlfn.XLOOKUP(T11,Dept_Map!$A$2:$A$11,Dept_Map!$B$2:$B$11,""))</f>
        <v>1</v>
      </c>
      <c r="V11" s="4">
        <f t="shared" si="4"/>
        <v>46076</v>
      </c>
      <c r="W11">
        <f>IF(N11&lt;&gt;"Approved","",V11-_xlfn.XLOOKUP(M11,ReqSite_Export!$A$2:$A$82,ReqSite_Export!$K$2:$K$82))</f>
        <v>3</v>
      </c>
      <c r="X11">
        <f>IF(AND(I11="Filled",N11="Approved"),J11-_xlfn.XLOOKUP(M11,ReqSite_Export!$A$2:$A$82,ReqSite_Export!$K$2:$K$82),"")</f>
        <v>75</v>
      </c>
      <c r="Y11" t="str">
        <f t="shared" si="5"/>
        <v>Mktg &amp; Comms</v>
      </c>
    </row>
    <row r="12" spans="1:25">
      <c r="A12" s="2">
        <v>4111</v>
      </c>
      <c r="B12" s="2" t="s">
        <v>287</v>
      </c>
      <c r="C12" s="2" t="s">
        <v>97</v>
      </c>
      <c r="D12" s="2" t="s">
        <v>96</v>
      </c>
      <c r="E12" s="2" t="s">
        <v>110</v>
      </c>
      <c r="F12" s="2" t="s">
        <v>276</v>
      </c>
      <c r="G12" s="2" t="s">
        <v>93</v>
      </c>
      <c r="H12" s="3">
        <v>46083</v>
      </c>
      <c r="I12" s="2" t="s">
        <v>274</v>
      </c>
      <c r="J12" s="3">
        <v>46132</v>
      </c>
      <c r="K12" s="2" t="s">
        <v>281</v>
      </c>
      <c r="L12" s="2">
        <v>64</v>
      </c>
      <c r="M12" t="str">
        <f t="shared" si="0"/>
        <v>N/A</v>
      </c>
      <c r="N12" t="str">
        <f>IF(M12="","Not found",_xlfn.XLOOKUP(M12,ReqSite_Export!$A$2:$A$82,ReqSite_Export!$J$2:$J$82,"Not found"))</f>
        <v>Not found</v>
      </c>
      <c r="O12" t="str">
        <f t="shared" si="1"/>
        <v>No request on file</v>
      </c>
      <c r="P12" t="str">
        <f>IF(N12="Not found","",_xlfn.XLOOKUP(M12,ReqSite_Export!$A$2:$A$82,ReqSite_Export!$E$2:$E$82,""))</f>
        <v/>
      </c>
      <c r="Q12" t="str">
        <f t="shared" si="2"/>
        <v/>
      </c>
      <c r="R12" t="str">
        <f>IF(N12="Not found","",_xlfn.XLOOKUP(M12,ReqSite_Export!$A$2:$A$82,ReqSite_Export!$C$2:$C$82,""))</f>
        <v/>
      </c>
      <c r="S12" t="str">
        <f t="shared" si="3"/>
        <v/>
      </c>
      <c r="T12" t="str">
        <f>IF(N12="Not found","",_xlfn.XLOOKUP(M12,ReqSite_Export!$A$2:$A$82,ReqSite_Export!$D$2:$D$82,""))</f>
        <v/>
      </c>
      <c r="U12" t="str">
        <f>IF(T12="","",TRIM(D12)=_xlfn.XLOOKUP(T12,Dept_Map!$A$2:$A$11,Dept_Map!$B$2:$B$11,""))</f>
        <v/>
      </c>
      <c r="V12" s="4">
        <f t="shared" si="4"/>
        <v>46083</v>
      </c>
      <c r="W12" t="str">
        <f>IF(N12&lt;&gt;"Approved","",V12-_xlfn.XLOOKUP(M12,ReqSite_Export!$A$2:$A$82,ReqSite_Export!$K$2:$K$82))</f>
        <v/>
      </c>
      <c r="X12" t="str">
        <f>IF(AND(I12="Filled",N12="Approved"),J12-_xlfn.XLOOKUP(M12,ReqSite_Export!$A$2:$A$82,ReqSite_Export!$K$2:$K$82),"")</f>
        <v/>
      </c>
      <c r="Y12" t="str">
        <f t="shared" si="5"/>
        <v>Events</v>
      </c>
    </row>
    <row r="13" spans="1:25">
      <c r="A13" s="2">
        <v>4112</v>
      </c>
      <c r="B13" s="2" t="s">
        <v>116</v>
      </c>
      <c r="C13" s="2" t="s">
        <v>117</v>
      </c>
      <c r="D13" s="2" t="s">
        <v>282</v>
      </c>
      <c r="E13" s="2" t="s">
        <v>103</v>
      </c>
      <c r="F13" s="2" t="s">
        <v>278</v>
      </c>
      <c r="G13" s="2" t="s">
        <v>78</v>
      </c>
      <c r="H13" s="3">
        <v>46090</v>
      </c>
      <c r="I13" s="2" t="s">
        <v>288</v>
      </c>
      <c r="J13" s="2"/>
      <c r="K13" s="2"/>
      <c r="L13" s="2">
        <v>74</v>
      </c>
      <c r="M13" t="str">
        <f t="shared" si="0"/>
        <v>RR-26-0012</v>
      </c>
      <c r="N13" t="str">
        <f>IF(M13="","Not found",_xlfn.XLOOKUP(M13,ReqSite_Export!$A$2:$A$82,ReqSite_Export!$J$2:$J$82,"Not found"))</f>
        <v>Approved</v>
      </c>
      <c r="O13" t="str">
        <f t="shared" si="1"/>
        <v>OK</v>
      </c>
      <c r="P13" t="str">
        <f>IF(N13="Not found","",_xlfn.XLOOKUP(M13,ReqSite_Export!$A$2:$A$82,ReqSite_Export!$E$2:$E$82,""))</f>
        <v>Senior Product Manager</v>
      </c>
      <c r="Q13" t="b">
        <f t="shared" si="2"/>
        <v>1</v>
      </c>
      <c r="R13" t="str">
        <f>IF(N13="Not found","",_xlfn.XLOOKUP(M13,ReqSite_Export!$A$2:$A$82,ReqSite_Export!$C$2:$C$82,""))</f>
        <v>Daniel Osei</v>
      </c>
      <c r="S13" t="b">
        <f t="shared" si="3"/>
        <v>1</v>
      </c>
      <c r="T13" t="str">
        <f>IF(N13="Not found","",_xlfn.XLOOKUP(M13,ReqSite_Export!$A$2:$A$82,ReqSite_Export!$D$2:$D$82,""))</f>
        <v>Product</v>
      </c>
      <c r="U13" t="b">
        <f>IF(T13="","",TRIM(D13)=_xlfn.XLOOKUP(T13,Dept_Map!$A$2:$A$11,Dept_Map!$B$2:$B$11,""))</f>
        <v>1</v>
      </c>
      <c r="V13" s="4">
        <f t="shared" si="4"/>
        <v>46090</v>
      </c>
      <c r="W13">
        <f>IF(N13&lt;&gt;"Approved","",V13-_xlfn.XLOOKUP(M13,ReqSite_Export!$A$2:$A$82,ReqSite_Export!$K$2:$K$82))</f>
        <v>6</v>
      </c>
      <c r="X13" t="str">
        <f>IF(AND(I13="Filled",N13="Approved"),J13-_xlfn.XLOOKUP(M13,ReqSite_Export!$A$2:$A$82,ReqSite_Export!$K$2:$K$82),"")</f>
        <v/>
      </c>
      <c r="Y13" t="str">
        <f t="shared" si="5"/>
        <v>Product Mgmt</v>
      </c>
    </row>
    <row r="14" spans="1:25">
      <c r="A14" s="2">
        <v>4113</v>
      </c>
      <c r="B14" s="2" t="s">
        <v>109</v>
      </c>
      <c r="C14" s="2" t="s">
        <v>111</v>
      </c>
      <c r="D14" s="2" t="s">
        <v>96</v>
      </c>
      <c r="E14" s="2" t="s">
        <v>110</v>
      </c>
      <c r="F14" s="2" t="s">
        <v>276</v>
      </c>
      <c r="G14" s="2" t="s">
        <v>78</v>
      </c>
      <c r="H14" s="3">
        <v>46092</v>
      </c>
      <c r="I14" s="2" t="s">
        <v>274</v>
      </c>
      <c r="J14" s="3">
        <v>46141</v>
      </c>
      <c r="K14" s="2" t="s">
        <v>283</v>
      </c>
      <c r="L14" s="2">
        <v>20</v>
      </c>
      <c r="M14" t="str">
        <f t="shared" si="0"/>
        <v>RR-26-0010</v>
      </c>
      <c r="N14" t="str">
        <f>IF(M14="","Not found",_xlfn.XLOOKUP(M14,ReqSite_Export!$A$2:$A$82,ReqSite_Export!$J$2:$J$82,"Not found"))</f>
        <v>Approved</v>
      </c>
      <c r="O14" t="str">
        <f t="shared" si="1"/>
        <v>OK</v>
      </c>
      <c r="P14" t="str">
        <f>IF(N14="Not found","",_xlfn.XLOOKUP(M14,ReqSite_Export!$A$2:$A$82,ReqSite_Export!$E$2:$E$82,""))</f>
        <v>Event Marketing Manager</v>
      </c>
      <c r="Q14" t="b">
        <f t="shared" si="2"/>
        <v>1</v>
      </c>
      <c r="R14" t="str">
        <f>IF(N14="Not found","",_xlfn.XLOOKUP(M14,ReqSite_Export!$A$2:$A$82,ReqSite_Export!$C$2:$C$82,""))</f>
        <v>Grace Holloway</v>
      </c>
      <c r="S14" t="b">
        <f t="shared" si="3"/>
        <v>1</v>
      </c>
      <c r="T14" t="str">
        <f>IF(N14="Not found","",_xlfn.XLOOKUP(M14,ReqSite_Export!$A$2:$A$82,ReqSite_Export!$D$2:$D$82,""))</f>
        <v>Events</v>
      </c>
      <c r="U14" t="b">
        <f>IF(T14="","",TRIM(D14)=_xlfn.XLOOKUP(T14,Dept_Map!$A$2:$A$11,Dept_Map!$B$2:$B$11,""))</f>
        <v>1</v>
      </c>
      <c r="V14" s="4">
        <f t="shared" si="4"/>
        <v>46092</v>
      </c>
      <c r="W14">
        <f>IF(N14&lt;&gt;"Approved","",V14-_xlfn.XLOOKUP(M14,ReqSite_Export!$A$2:$A$82,ReqSite_Export!$K$2:$K$82))</f>
        <v>16</v>
      </c>
      <c r="X14">
        <f>IF(AND(I14="Filled",N14="Approved"),J14-_xlfn.XLOOKUP(M14,ReqSite_Export!$A$2:$A$82,ReqSite_Export!$K$2:$K$82),"")</f>
        <v>65</v>
      </c>
      <c r="Y14" t="str">
        <f t="shared" si="5"/>
        <v>Events</v>
      </c>
    </row>
    <row r="15" spans="1:25">
      <c r="A15" s="2">
        <v>4114</v>
      </c>
      <c r="B15" s="2" t="s">
        <v>126</v>
      </c>
      <c r="C15" s="2" t="s">
        <v>129</v>
      </c>
      <c r="D15" s="2" t="s">
        <v>289</v>
      </c>
      <c r="E15" s="2" t="s">
        <v>127</v>
      </c>
      <c r="F15" s="2" t="s">
        <v>273</v>
      </c>
      <c r="G15" s="2" t="s">
        <v>130</v>
      </c>
      <c r="H15" s="3">
        <v>46097</v>
      </c>
      <c r="I15" s="2" t="s">
        <v>274</v>
      </c>
      <c r="J15" s="3">
        <v>46157</v>
      </c>
      <c r="K15" s="2" t="s">
        <v>283</v>
      </c>
      <c r="L15" s="2">
        <v>68</v>
      </c>
      <c r="M15" t="str">
        <f t="shared" si="0"/>
        <v>RR-26-0015</v>
      </c>
      <c r="N15" t="str">
        <f>IF(M15="","Not found",_xlfn.XLOOKUP(M15,ReqSite_Export!$A$2:$A$82,ReqSite_Export!$J$2:$J$82,"Not found"))</f>
        <v>Approved</v>
      </c>
      <c r="O15" t="str">
        <f t="shared" si="1"/>
        <v>OK</v>
      </c>
      <c r="P15" t="str">
        <f>IF(N15="Not found","",_xlfn.XLOOKUP(M15,ReqSite_Export!$A$2:$A$82,ReqSite_Export!$E$2:$E$82,""))</f>
        <v>Engagement Manager</v>
      </c>
      <c r="Q15" t="b">
        <f t="shared" si="2"/>
        <v>1</v>
      </c>
      <c r="R15" t="str">
        <f>IF(N15="Not found","",_xlfn.XLOOKUP(M15,ReqSite_Export!$A$2:$A$82,ReqSite_Export!$C$2:$C$82,""))</f>
        <v>Sofia Marino</v>
      </c>
      <c r="S15" t="b">
        <f t="shared" si="3"/>
        <v>1</v>
      </c>
      <c r="T15" t="str">
        <f>IF(N15="Not found","",_xlfn.XLOOKUP(M15,ReqSite_Export!$A$2:$A$82,ReqSite_Export!$D$2:$D$82,""))</f>
        <v>Consulting</v>
      </c>
      <c r="U15" t="b">
        <f>IF(T15="","",TRIM(D15)=_xlfn.XLOOKUP(T15,Dept_Map!$A$2:$A$11,Dept_Map!$B$2:$B$11,""))</f>
        <v>1</v>
      </c>
      <c r="V15" s="4">
        <f t="shared" si="4"/>
        <v>46097</v>
      </c>
      <c r="W15">
        <f>IF(N15&lt;&gt;"Approved","",V15-_xlfn.XLOOKUP(M15,ReqSite_Export!$A$2:$A$82,ReqSite_Export!$K$2:$K$82))</f>
        <v>3</v>
      </c>
      <c r="X15">
        <f>IF(AND(I15="Filled",N15="Approved"),J15-_xlfn.XLOOKUP(M15,ReqSite_Export!$A$2:$A$82,ReqSite_Export!$K$2:$K$82),"")</f>
        <v>63</v>
      </c>
      <c r="Y15" t="str">
        <f t="shared" si="5"/>
        <v>Consulting Services</v>
      </c>
    </row>
    <row r="16" spans="1:25">
      <c r="A16" s="2">
        <v>4115</v>
      </c>
      <c r="B16" s="2" t="s">
        <v>122</v>
      </c>
      <c r="C16" s="2" t="s">
        <v>125</v>
      </c>
      <c r="D16" s="2" t="s">
        <v>290</v>
      </c>
      <c r="E16" s="2" t="s">
        <v>123</v>
      </c>
      <c r="F16" s="2" t="s">
        <v>280</v>
      </c>
      <c r="G16" s="2" t="s">
        <v>93</v>
      </c>
      <c r="H16" s="3">
        <v>46100</v>
      </c>
      <c r="I16" s="2" t="s">
        <v>274</v>
      </c>
      <c r="J16" s="3">
        <v>46143</v>
      </c>
      <c r="K16" s="2" t="s">
        <v>275</v>
      </c>
      <c r="L16" s="2">
        <v>21</v>
      </c>
      <c r="M16" t="str">
        <f t="shared" si="0"/>
        <v>RR-26-0014</v>
      </c>
      <c r="N16" t="str">
        <f>IF(M16="","Not found",_xlfn.XLOOKUP(M16,ReqSite_Export!$A$2:$A$82,ReqSite_Export!$J$2:$J$82,"Not found"))</f>
        <v>Approved</v>
      </c>
      <c r="O16" t="str">
        <f t="shared" si="1"/>
        <v>OK</v>
      </c>
      <c r="P16" t="str">
        <f>IF(N16="Not found","",_xlfn.XLOOKUP(M16,ReqSite_Export!$A$2:$A$82,ReqSite_Export!$E$2:$E$82,""))</f>
        <v>HRIS Analyst</v>
      </c>
      <c r="Q16" t="b">
        <f t="shared" si="2"/>
        <v>1</v>
      </c>
      <c r="R16" t="str">
        <f>IF(N16="Not found","",_xlfn.XLOOKUP(M16,ReqSite_Export!$A$2:$A$82,ReqSite_Export!$C$2:$C$82,""))</f>
        <v>Julia Novak</v>
      </c>
      <c r="S16" t="b">
        <f t="shared" si="3"/>
        <v>1</v>
      </c>
      <c r="T16" t="str">
        <f>IF(N16="Not found","",_xlfn.XLOOKUP(M16,ReqSite_Export!$A$2:$A$82,ReqSite_Export!$D$2:$D$82,""))</f>
        <v>Human Resources</v>
      </c>
      <c r="U16" t="b">
        <f>IF(T16="","",TRIM(D16)=_xlfn.XLOOKUP(T16,Dept_Map!$A$2:$A$11,Dept_Map!$B$2:$B$11,""))</f>
        <v>1</v>
      </c>
      <c r="V16" s="4">
        <f t="shared" si="4"/>
        <v>46100</v>
      </c>
      <c r="W16">
        <f>IF(N16&lt;&gt;"Approved","",V16-_xlfn.XLOOKUP(M16,ReqSite_Export!$A$2:$A$82,ReqSite_Export!$K$2:$K$82))</f>
        <v>3</v>
      </c>
      <c r="X16">
        <f>IF(AND(I16="Filled",N16="Approved"),J16-_xlfn.XLOOKUP(M16,ReqSite_Export!$A$2:$A$82,ReqSite_Export!$K$2:$K$82),"")</f>
        <v>46</v>
      </c>
      <c r="Y16" t="str">
        <f t="shared" si="5"/>
        <v>HR</v>
      </c>
    </row>
    <row r="17" spans="1:25">
      <c r="A17" s="2">
        <v>4116</v>
      </c>
      <c r="B17" s="2" t="s">
        <v>131</v>
      </c>
      <c r="C17" s="2" t="s">
        <v>134</v>
      </c>
      <c r="D17" s="2" t="s">
        <v>291</v>
      </c>
      <c r="E17" s="2" t="s">
        <v>132</v>
      </c>
      <c r="F17" s="2" t="s">
        <v>278</v>
      </c>
      <c r="G17" s="2" t="s">
        <v>93</v>
      </c>
      <c r="H17" s="3">
        <v>46101</v>
      </c>
      <c r="I17" s="2" t="s">
        <v>274</v>
      </c>
      <c r="J17" s="3">
        <v>46126</v>
      </c>
      <c r="K17" s="2" t="s">
        <v>285</v>
      </c>
      <c r="L17" s="2">
        <v>98</v>
      </c>
      <c r="M17" t="str">
        <f t="shared" si="0"/>
        <v>RR-26-0016</v>
      </c>
      <c r="N17" t="str">
        <f>IF(M17="","Not found",_xlfn.XLOOKUP(M17,ReqSite_Export!$A$2:$A$82,ReqSite_Export!$J$2:$J$82,"Not found"))</f>
        <v>Approved</v>
      </c>
      <c r="O17" t="str">
        <f t="shared" si="1"/>
        <v>OK</v>
      </c>
      <c r="P17" t="str">
        <f>IF(N17="Not found","",_xlfn.XLOOKUP(M17,ReqSite_Export!$A$2:$A$82,ReqSite_Export!$E$2:$E$82,""))</f>
        <v>Data Engineer</v>
      </c>
      <c r="Q17" t="b">
        <f t="shared" si="2"/>
        <v>1</v>
      </c>
      <c r="R17" t="str">
        <f>IF(N17="Not found","",_xlfn.XLOOKUP(M17,ReqSite_Export!$A$2:$A$82,ReqSite_Export!$C$2:$C$82,""))</f>
        <v>Amy Sorensen</v>
      </c>
      <c r="S17" t="b">
        <f t="shared" si="3"/>
        <v>1</v>
      </c>
      <c r="T17" t="str">
        <f>IF(N17="Not found","",_xlfn.XLOOKUP(M17,ReqSite_Export!$A$2:$A$82,ReqSite_Export!$D$2:$D$82,""))</f>
        <v>Data &amp; Analytics</v>
      </c>
      <c r="U17" t="b">
        <f>IF(T17="","",TRIM(D17)=_xlfn.XLOOKUP(T17,Dept_Map!$A$2:$A$11,Dept_Map!$B$2:$B$11,""))</f>
        <v>1</v>
      </c>
      <c r="V17" s="4">
        <f t="shared" si="4"/>
        <v>46101</v>
      </c>
      <c r="W17">
        <f>IF(N17&lt;&gt;"Approved","",V17-_xlfn.XLOOKUP(M17,ReqSite_Export!$A$2:$A$82,ReqSite_Export!$K$2:$K$82))</f>
        <v>2</v>
      </c>
      <c r="X17">
        <f>IF(AND(I17="Filled",N17="Approved"),J17-_xlfn.XLOOKUP(M17,ReqSite_Export!$A$2:$A$82,ReqSite_Export!$K$2:$K$82),"")</f>
        <v>27</v>
      </c>
      <c r="Y17" t="str">
        <f t="shared" si="5"/>
        <v>Data and Analytics</v>
      </c>
    </row>
    <row r="18" spans="1:25">
      <c r="A18" s="2">
        <v>4117</v>
      </c>
      <c r="B18" s="2" t="s">
        <v>143</v>
      </c>
      <c r="C18" s="2" t="s">
        <v>111</v>
      </c>
      <c r="D18" s="2" t="s">
        <v>96</v>
      </c>
      <c r="E18" s="2" t="s">
        <v>110</v>
      </c>
      <c r="F18" s="2" t="s">
        <v>276</v>
      </c>
      <c r="G18" s="2" t="s">
        <v>78</v>
      </c>
      <c r="H18" s="3">
        <v>46121</v>
      </c>
      <c r="I18" s="2" t="s">
        <v>274</v>
      </c>
      <c r="J18" s="3">
        <v>46167</v>
      </c>
      <c r="K18" s="2" t="s">
        <v>281</v>
      </c>
      <c r="L18" s="2">
        <v>24</v>
      </c>
      <c r="M18" t="str">
        <f t="shared" si="0"/>
        <v>RR-26-0020</v>
      </c>
      <c r="N18" t="str">
        <f>IF(M18="","Not found",_xlfn.XLOOKUP(M18,ReqSite_Export!$A$2:$A$82,ReqSite_Export!$J$2:$J$82,"Not found"))</f>
        <v>Approved</v>
      </c>
      <c r="O18" t="str">
        <f t="shared" si="1"/>
        <v>OK</v>
      </c>
      <c r="P18" t="str">
        <f>IF(N18="Not found","",_xlfn.XLOOKUP(M18,ReqSite_Export!$A$2:$A$82,ReqSite_Export!$E$2:$E$82,""))</f>
        <v>Event Marketing Manager</v>
      </c>
      <c r="Q18" t="b">
        <f t="shared" si="2"/>
        <v>1</v>
      </c>
      <c r="R18" t="str">
        <f>IF(N18="Not found","",_xlfn.XLOOKUP(M18,ReqSite_Export!$A$2:$A$82,ReqSite_Export!$C$2:$C$82,""))</f>
        <v>Grace Holloway</v>
      </c>
      <c r="S18" t="b">
        <f t="shared" si="3"/>
        <v>1</v>
      </c>
      <c r="T18" t="str">
        <f>IF(N18="Not found","",_xlfn.XLOOKUP(M18,ReqSite_Export!$A$2:$A$82,ReqSite_Export!$D$2:$D$82,""))</f>
        <v>Events</v>
      </c>
      <c r="U18" t="b">
        <f>IF(T18="","",TRIM(D18)=_xlfn.XLOOKUP(T18,Dept_Map!$A$2:$A$11,Dept_Map!$B$2:$B$11,""))</f>
        <v>1</v>
      </c>
      <c r="V18" s="4">
        <f t="shared" si="4"/>
        <v>46121</v>
      </c>
      <c r="W18">
        <f>IF(N18&lt;&gt;"Approved","",V18-_xlfn.XLOOKUP(M18,ReqSite_Export!$A$2:$A$82,ReqSite_Export!$K$2:$K$82))</f>
        <v>3</v>
      </c>
      <c r="X18">
        <f>IF(AND(I18="Filled",N18="Approved"),J18-_xlfn.XLOOKUP(M18,ReqSite_Export!$A$2:$A$82,ReqSite_Export!$K$2:$K$82),"")</f>
        <v>49</v>
      </c>
      <c r="Y18" t="str">
        <f t="shared" si="5"/>
        <v>Events</v>
      </c>
    </row>
    <row r="19" spans="1:25">
      <c r="A19" s="2">
        <v>4118</v>
      </c>
      <c r="B19" s="2" t="s">
        <v>136</v>
      </c>
      <c r="C19" s="2" t="s">
        <v>138</v>
      </c>
      <c r="D19" s="2" t="s">
        <v>100</v>
      </c>
      <c r="E19" s="2" t="s">
        <v>137</v>
      </c>
      <c r="F19" s="2" t="s">
        <v>280</v>
      </c>
      <c r="G19" s="2" t="s">
        <v>93</v>
      </c>
      <c r="H19" s="3">
        <v>46125</v>
      </c>
      <c r="I19" s="2" t="s">
        <v>274</v>
      </c>
      <c r="J19" s="3">
        <v>46202</v>
      </c>
      <c r="K19" s="2" t="s">
        <v>283</v>
      </c>
      <c r="L19" s="2">
        <v>44</v>
      </c>
      <c r="M19" t="str">
        <f t="shared" si="0"/>
        <v>RR-26-0017</v>
      </c>
      <c r="N19" t="str">
        <f>IF(M19="","Not found",_xlfn.XLOOKUP(M19,ReqSite_Export!$A$2:$A$82,ReqSite_Export!$J$2:$J$82,"Not found"))</f>
        <v>Approved</v>
      </c>
      <c r="O19" t="str">
        <f t="shared" si="1"/>
        <v>OK</v>
      </c>
      <c r="P19" t="str">
        <f>IF(N19="Not found","",_xlfn.XLOOKUP(M19,ReqSite_Export!$A$2:$A$82,ReqSite_Export!$E$2:$E$82,""))</f>
        <v>Senior Accountant</v>
      </c>
      <c r="Q19" t="b">
        <f t="shared" si="2"/>
        <v>1</v>
      </c>
      <c r="R19" t="str">
        <f>IF(N19="Not found","",_xlfn.XLOOKUP(M19,ReqSite_Export!$A$2:$A$82,ReqSite_Export!$C$2:$C$82,""))</f>
        <v>Lisa Tran</v>
      </c>
      <c r="S19" t="b">
        <f t="shared" si="3"/>
        <v>1</v>
      </c>
      <c r="T19" t="str">
        <f>IF(N19="Not found","",_xlfn.XLOOKUP(M19,ReqSite_Export!$A$2:$A$82,ReqSite_Export!$D$2:$D$82,""))</f>
        <v>Finance</v>
      </c>
      <c r="U19" t="b">
        <f>IF(T19="","",TRIM(D19)=_xlfn.XLOOKUP(T19,Dept_Map!$A$2:$A$11,Dept_Map!$B$2:$B$11,""))</f>
        <v>1</v>
      </c>
      <c r="V19" s="4">
        <f t="shared" si="4"/>
        <v>46125</v>
      </c>
      <c r="W19">
        <f>IF(N19&lt;&gt;"Approved","",V19-_xlfn.XLOOKUP(M19,ReqSite_Export!$A$2:$A$82,ReqSite_Export!$K$2:$K$82))</f>
        <v>4</v>
      </c>
      <c r="X19">
        <f>IF(AND(I19="Filled",N19="Approved"),J19-_xlfn.XLOOKUP(M19,ReqSite_Export!$A$2:$A$82,ReqSite_Export!$K$2:$K$82),"")</f>
        <v>81</v>
      </c>
      <c r="Y19" t="str">
        <f t="shared" si="5"/>
        <v>Finance</v>
      </c>
    </row>
    <row r="20" spans="1:25">
      <c r="A20" s="2">
        <v>4119</v>
      </c>
      <c r="B20" s="2" t="s">
        <v>147</v>
      </c>
      <c r="C20" s="2" t="s">
        <v>148</v>
      </c>
      <c r="D20" s="2" t="s">
        <v>96</v>
      </c>
      <c r="E20" s="2" t="s">
        <v>113</v>
      </c>
      <c r="F20" s="2" t="s">
        <v>276</v>
      </c>
      <c r="G20" s="2" t="s">
        <v>93</v>
      </c>
      <c r="H20" s="3">
        <v>46139</v>
      </c>
      <c r="I20" s="2" t="s">
        <v>274</v>
      </c>
      <c r="J20" s="3">
        <v>46190</v>
      </c>
      <c r="K20" s="2" t="s">
        <v>281</v>
      </c>
      <c r="L20" s="2">
        <v>77</v>
      </c>
      <c r="M20" t="str">
        <f t="shared" si="0"/>
        <v>RR-26-0022</v>
      </c>
      <c r="N20" t="str">
        <f>IF(M20="","Not found",_xlfn.XLOOKUP(M20,ReqSite_Export!$A$2:$A$82,ReqSite_Export!$J$2:$J$82,"Not found"))</f>
        <v>Approved</v>
      </c>
      <c r="O20" t="str">
        <f t="shared" si="1"/>
        <v>OK</v>
      </c>
      <c r="P20" t="str">
        <f>IF(N20="Not found","",_xlfn.XLOOKUP(M20,ReqSite_Export!$A$2:$A$82,ReqSite_Export!$E$2:$E$82,""))</f>
        <v>Content Marketing Manager</v>
      </c>
      <c r="Q20" t="b">
        <f t="shared" si="2"/>
        <v>1</v>
      </c>
      <c r="R20" t="str">
        <f>IF(N20="Not found","",_xlfn.XLOOKUP(M20,ReqSite_Export!$A$2:$A$82,ReqSite_Export!$C$2:$C$82,""))</f>
        <v>Olivia Chen</v>
      </c>
      <c r="S20" t="b">
        <f t="shared" si="3"/>
        <v>1</v>
      </c>
      <c r="T20" t="str">
        <f>IF(N20="Not found","",_xlfn.XLOOKUP(M20,ReqSite_Export!$A$2:$A$82,ReqSite_Export!$D$2:$D$82,""))</f>
        <v>Marketing</v>
      </c>
      <c r="U20" t="b">
        <f>IF(T20="","",TRIM(D20)=_xlfn.XLOOKUP(T20,Dept_Map!$A$2:$A$11,Dept_Map!$B$2:$B$11,""))</f>
        <v>0</v>
      </c>
      <c r="V20" s="4">
        <f t="shared" si="4"/>
        <v>46139</v>
      </c>
      <c r="W20">
        <f>IF(N20&lt;&gt;"Approved","",V20-_xlfn.XLOOKUP(M20,ReqSite_Export!$A$2:$A$82,ReqSite_Export!$K$2:$K$82))</f>
        <v>13</v>
      </c>
      <c r="X20">
        <f>IF(AND(I20="Filled",N20="Approved"),J20-_xlfn.XLOOKUP(M20,ReqSite_Export!$A$2:$A$82,ReqSite_Export!$K$2:$K$82),"")</f>
        <v>64</v>
      </c>
      <c r="Y20" t="str">
        <f t="shared" si="5"/>
        <v>Events</v>
      </c>
    </row>
    <row r="21" spans="1:25">
      <c r="A21" s="2">
        <v>4120</v>
      </c>
      <c r="B21" s="2" t="s">
        <v>144</v>
      </c>
      <c r="C21" s="2" t="s">
        <v>146</v>
      </c>
      <c r="D21" s="2" t="s">
        <v>291</v>
      </c>
      <c r="E21" s="2" t="s">
        <v>145</v>
      </c>
      <c r="F21" s="2" t="s">
        <v>278</v>
      </c>
      <c r="G21" s="2" t="s">
        <v>93</v>
      </c>
      <c r="H21" s="3">
        <v>46142</v>
      </c>
      <c r="I21" s="2" t="s">
        <v>274</v>
      </c>
      <c r="J21" s="3">
        <v>46209</v>
      </c>
      <c r="K21" s="2" t="s">
        <v>281</v>
      </c>
      <c r="L21" s="2">
        <v>51</v>
      </c>
      <c r="M21" t="str">
        <f t="shared" si="0"/>
        <v>RR-26-0021</v>
      </c>
      <c r="N21" t="str">
        <f>IF(M21="","Not found",_xlfn.XLOOKUP(M21,ReqSite_Export!$A$2:$A$82,ReqSite_Export!$J$2:$J$82,"Not found"))</f>
        <v>Approved</v>
      </c>
      <c r="O21" t="str">
        <f t="shared" si="1"/>
        <v>OK</v>
      </c>
      <c r="P21" t="str">
        <f>IF(N21="Not found","",_xlfn.XLOOKUP(M21,ReqSite_Export!$A$2:$A$82,ReqSite_Export!$E$2:$E$82,""))</f>
        <v>Analytics Engineer</v>
      </c>
      <c r="Q21" t="b">
        <f t="shared" si="2"/>
        <v>1</v>
      </c>
      <c r="R21" t="str">
        <f>IF(N21="Not found","",_xlfn.XLOOKUP(M21,ReqSite_Export!$A$2:$A$82,ReqSite_Export!$C$2:$C$82,""))</f>
        <v>Nikhil Rao</v>
      </c>
      <c r="S21" t="b">
        <f t="shared" si="3"/>
        <v>1</v>
      </c>
      <c r="T21" t="str">
        <f>IF(N21="Not found","",_xlfn.XLOOKUP(M21,ReqSite_Export!$A$2:$A$82,ReqSite_Export!$D$2:$D$82,""))</f>
        <v>Data &amp; Analytics</v>
      </c>
      <c r="U21" t="b">
        <f>IF(T21="","",TRIM(D21)=_xlfn.XLOOKUP(T21,Dept_Map!$A$2:$A$11,Dept_Map!$B$2:$B$11,""))</f>
        <v>1</v>
      </c>
      <c r="V21" s="4">
        <f t="shared" si="4"/>
        <v>46142</v>
      </c>
      <c r="W21">
        <f>IF(N21&lt;&gt;"Approved","",V21-_xlfn.XLOOKUP(M21,ReqSite_Export!$A$2:$A$82,ReqSite_Export!$K$2:$K$82))</f>
        <v>9</v>
      </c>
      <c r="X21">
        <f>IF(AND(I21="Filled",N21="Approved"),J21-_xlfn.XLOOKUP(M21,ReqSite_Export!$A$2:$A$82,ReqSite_Export!$K$2:$K$82),"")</f>
        <v>76</v>
      </c>
      <c r="Y21" t="str">
        <f t="shared" si="5"/>
        <v>Data and Analytics</v>
      </c>
    </row>
    <row r="22" spans="1:25">
      <c r="A22" s="2">
        <v>4121</v>
      </c>
      <c r="B22" s="2" t="s">
        <v>292</v>
      </c>
      <c r="C22" s="2" t="s">
        <v>162</v>
      </c>
      <c r="D22" s="2" t="s">
        <v>286</v>
      </c>
      <c r="E22" s="2" t="s">
        <v>161</v>
      </c>
      <c r="F22" s="2" t="s">
        <v>276</v>
      </c>
      <c r="G22" s="2" t="s">
        <v>93</v>
      </c>
      <c r="H22" s="3">
        <v>46146</v>
      </c>
      <c r="I22" s="2" t="s">
        <v>274</v>
      </c>
      <c r="J22" s="3">
        <v>46202</v>
      </c>
      <c r="K22" s="2" t="s">
        <v>285</v>
      </c>
      <c r="L22" s="2">
        <v>42</v>
      </c>
      <c r="M22" t="str">
        <f t="shared" si="0"/>
        <v>RR-26-0029</v>
      </c>
      <c r="N22" t="str">
        <f>IF(M22="","Not found",_xlfn.XLOOKUP(M22,ReqSite_Export!$A$2:$A$82,ReqSite_Export!$J$2:$J$82,"Not found"))</f>
        <v>Approved</v>
      </c>
      <c r="O22" t="str">
        <f t="shared" si="1"/>
        <v>OK</v>
      </c>
      <c r="P22" t="str">
        <f>IF(N22="Not found","",_xlfn.XLOOKUP(M22,ReqSite_Export!$A$2:$A$82,ReqSite_Export!$E$2:$E$82,""))</f>
        <v>Marketing Operations Specialist</v>
      </c>
      <c r="Q22" t="b">
        <f t="shared" si="2"/>
        <v>1</v>
      </c>
      <c r="R22" t="str">
        <f>IF(N22="Not found","",_xlfn.XLOOKUP(M22,ReqSite_Export!$A$2:$A$82,ReqSite_Export!$C$2:$C$82,""))</f>
        <v>Ethan Park</v>
      </c>
      <c r="S22" t="b">
        <f t="shared" si="3"/>
        <v>1</v>
      </c>
      <c r="T22" t="str">
        <f>IF(N22="Not found","",_xlfn.XLOOKUP(M22,ReqSite_Export!$A$2:$A$82,ReqSite_Export!$D$2:$D$82,""))</f>
        <v>Marketing</v>
      </c>
      <c r="U22" t="b">
        <f>IF(T22="","",TRIM(D22)=_xlfn.XLOOKUP(T22,Dept_Map!$A$2:$A$11,Dept_Map!$B$2:$B$11,""))</f>
        <v>1</v>
      </c>
      <c r="V22" s="4">
        <f t="shared" si="4"/>
        <v>46146</v>
      </c>
      <c r="W22">
        <f>IF(N22&lt;&gt;"Approved","",V22-_xlfn.XLOOKUP(M22,ReqSite_Export!$A$2:$A$82,ReqSite_Export!$K$2:$K$82))</f>
        <v>4</v>
      </c>
      <c r="X22">
        <f>IF(AND(I22="Filled",N22="Approved"),J22-_xlfn.XLOOKUP(M22,ReqSite_Export!$A$2:$A$82,ReqSite_Export!$K$2:$K$82),"")</f>
        <v>60</v>
      </c>
      <c r="Y22" t="str">
        <f t="shared" si="5"/>
        <v>Mktg &amp; Comms</v>
      </c>
    </row>
    <row r="23" spans="1:25">
      <c r="A23" s="2">
        <v>4122</v>
      </c>
      <c r="B23" s="2" t="s">
        <v>149</v>
      </c>
      <c r="C23" s="2" t="s">
        <v>151</v>
      </c>
      <c r="D23" s="2" t="s">
        <v>290</v>
      </c>
      <c r="E23" s="2" t="s">
        <v>150</v>
      </c>
      <c r="F23" s="2" t="s">
        <v>280</v>
      </c>
      <c r="G23" s="2" t="s">
        <v>78</v>
      </c>
      <c r="H23" s="3">
        <v>46146</v>
      </c>
      <c r="I23" s="2" t="s">
        <v>288</v>
      </c>
      <c r="J23" s="2"/>
      <c r="K23" s="2"/>
      <c r="L23" s="2">
        <v>35</v>
      </c>
      <c r="M23" t="str">
        <f t="shared" si="0"/>
        <v>RR-26-0023</v>
      </c>
      <c r="N23" t="str">
        <f>IF(M23="","Not found",_xlfn.XLOOKUP(M23,ReqSite_Export!$A$2:$A$82,ReqSite_Export!$J$2:$J$82,"Not found"))</f>
        <v>Approved</v>
      </c>
      <c r="O23" t="str">
        <f t="shared" si="1"/>
        <v>OK</v>
      </c>
      <c r="P23" t="str">
        <f>IF(N23="Not found","",_xlfn.XLOOKUP(M23,ReqSite_Export!$A$2:$A$82,ReqSite_Export!$E$2:$E$82,""))</f>
        <v>Benefits Specialist</v>
      </c>
      <c r="Q23" t="b">
        <f t="shared" si="2"/>
        <v>1</v>
      </c>
      <c r="R23" t="str">
        <f>IF(N23="Not found","",_xlfn.XLOOKUP(M23,ReqSite_Export!$A$2:$A$82,ReqSite_Export!$C$2:$C$82,""))</f>
        <v>Robert Hayes</v>
      </c>
      <c r="S23" t="b">
        <f t="shared" si="3"/>
        <v>1</v>
      </c>
      <c r="T23" t="str">
        <f>IF(N23="Not found","",_xlfn.XLOOKUP(M23,ReqSite_Export!$A$2:$A$82,ReqSite_Export!$D$2:$D$82,""))</f>
        <v>Human Resources</v>
      </c>
      <c r="U23" t="b">
        <f>IF(T23="","",TRIM(D23)=_xlfn.XLOOKUP(T23,Dept_Map!$A$2:$A$11,Dept_Map!$B$2:$B$11,""))</f>
        <v>1</v>
      </c>
      <c r="V23" s="4">
        <f t="shared" si="4"/>
        <v>46146</v>
      </c>
      <c r="W23">
        <f>IF(N23&lt;&gt;"Approved","",V23-_xlfn.XLOOKUP(M23,ReqSite_Export!$A$2:$A$82,ReqSite_Export!$K$2:$K$82))</f>
        <v>10</v>
      </c>
      <c r="X23" t="str">
        <f>IF(AND(I23="Filled",N23="Approved"),J23-_xlfn.XLOOKUP(M23,ReqSite_Export!$A$2:$A$82,ReqSite_Export!$K$2:$K$82),"")</f>
        <v/>
      </c>
      <c r="Y23" t="str">
        <f t="shared" si="5"/>
        <v>HR</v>
      </c>
    </row>
    <row r="24" spans="1:25">
      <c r="A24" s="2">
        <v>4123</v>
      </c>
      <c r="B24" s="2" t="s">
        <v>155</v>
      </c>
      <c r="C24" s="2" t="s">
        <v>157</v>
      </c>
      <c r="D24" s="2" t="s">
        <v>81</v>
      </c>
      <c r="E24" s="2" t="s">
        <v>156</v>
      </c>
      <c r="F24" s="2" t="s">
        <v>273</v>
      </c>
      <c r="G24" s="2" t="s">
        <v>83</v>
      </c>
      <c r="H24" s="3">
        <v>46146</v>
      </c>
      <c r="I24" s="2" t="s">
        <v>274</v>
      </c>
      <c r="J24" s="3">
        <v>46188</v>
      </c>
      <c r="K24" s="2" t="s">
        <v>281</v>
      </c>
      <c r="L24" s="2">
        <v>103</v>
      </c>
      <c r="M24" t="str">
        <f t="shared" si="0"/>
        <v>RR-26-0026</v>
      </c>
      <c r="N24" t="str">
        <f>IF(M24="","Not found",_xlfn.XLOOKUP(M24,ReqSite_Export!$A$2:$A$82,ReqSite_Export!$J$2:$J$82,"Not found"))</f>
        <v>Approved</v>
      </c>
      <c r="O24" t="str">
        <f t="shared" si="1"/>
        <v>OK</v>
      </c>
      <c r="P24" t="str">
        <f>IF(N24="Not found","",_xlfn.XLOOKUP(M24,ReqSite_Export!$A$2:$A$82,ReqSite_Export!$E$2:$E$82,""))</f>
        <v>Research Manager</v>
      </c>
      <c r="Q24" t="b">
        <f t="shared" si="2"/>
        <v>1</v>
      </c>
      <c r="R24" t="str">
        <f>IF(N24="Not found","",_xlfn.XLOOKUP(M24,ReqSite_Export!$A$2:$A$82,ReqSite_Export!$C$2:$C$82,""))</f>
        <v>Brian Cho</v>
      </c>
      <c r="S24" t="b">
        <f t="shared" si="3"/>
        <v>1</v>
      </c>
      <c r="T24" t="str">
        <f>IF(N24="Not found","",_xlfn.XLOOKUP(M24,ReqSite_Export!$A$2:$A$82,ReqSite_Export!$D$2:$D$82,""))</f>
        <v>Research</v>
      </c>
      <c r="U24" t="b">
        <f>IF(T24="","",TRIM(D24)=_xlfn.XLOOKUP(T24,Dept_Map!$A$2:$A$11,Dept_Map!$B$2:$B$11,""))</f>
        <v>1</v>
      </c>
      <c r="V24" s="4">
        <f t="shared" si="4"/>
        <v>46146</v>
      </c>
      <c r="W24">
        <f>IF(N24&lt;&gt;"Approved","",V24-_xlfn.XLOOKUP(M24,ReqSite_Export!$A$2:$A$82,ReqSite_Export!$K$2:$K$82))</f>
        <v>4</v>
      </c>
      <c r="X24">
        <f>IF(AND(I24="Filled",N24="Approved"),J24-_xlfn.XLOOKUP(M24,ReqSite_Export!$A$2:$A$82,ReqSite_Export!$K$2:$K$82),"")</f>
        <v>46</v>
      </c>
      <c r="Y24" t="str">
        <f t="shared" si="5"/>
        <v>Research</v>
      </c>
    </row>
    <row r="25" spans="1:25">
      <c r="A25" s="2">
        <v>4124</v>
      </c>
      <c r="B25" s="2" t="s">
        <v>158</v>
      </c>
      <c r="C25" s="2" t="s">
        <v>125</v>
      </c>
      <c r="D25" s="2" t="s">
        <v>290</v>
      </c>
      <c r="E25" s="2" t="s">
        <v>150</v>
      </c>
      <c r="F25" s="2" t="s">
        <v>280</v>
      </c>
      <c r="G25" s="2" t="s">
        <v>93</v>
      </c>
      <c r="H25" s="3">
        <v>46146</v>
      </c>
      <c r="I25" s="2" t="s">
        <v>274</v>
      </c>
      <c r="J25" s="3">
        <v>46174</v>
      </c>
      <c r="K25" s="2" t="s">
        <v>281</v>
      </c>
      <c r="L25" s="2">
        <v>49</v>
      </c>
      <c r="M25" t="str">
        <f t="shared" si="0"/>
        <v>RR-26-0027</v>
      </c>
      <c r="N25" t="str">
        <f>IF(M25="","Not found",_xlfn.XLOOKUP(M25,ReqSite_Export!$A$2:$A$82,ReqSite_Export!$J$2:$J$82,"Not found"))</f>
        <v>Approved</v>
      </c>
      <c r="O25" t="str">
        <f t="shared" si="1"/>
        <v>OK</v>
      </c>
      <c r="P25" t="str">
        <f>IF(N25="Not found","",_xlfn.XLOOKUP(M25,ReqSite_Export!$A$2:$A$82,ReqSite_Export!$E$2:$E$82,""))</f>
        <v>HRIS Analyst</v>
      </c>
      <c r="Q25" t="b">
        <f t="shared" si="2"/>
        <v>1</v>
      </c>
      <c r="R25" t="str">
        <f>IF(N25="Not found","",_xlfn.XLOOKUP(M25,ReqSite_Export!$A$2:$A$82,ReqSite_Export!$C$2:$C$82,""))</f>
        <v>Robert Hayes</v>
      </c>
      <c r="S25" t="b">
        <f t="shared" si="3"/>
        <v>1</v>
      </c>
      <c r="T25" t="str">
        <f>IF(N25="Not found","",_xlfn.XLOOKUP(M25,ReqSite_Export!$A$2:$A$82,ReqSite_Export!$D$2:$D$82,""))</f>
        <v>Human Resources</v>
      </c>
      <c r="U25" t="b">
        <f>IF(T25="","",TRIM(D25)=_xlfn.XLOOKUP(T25,Dept_Map!$A$2:$A$11,Dept_Map!$B$2:$B$11,""))</f>
        <v>1</v>
      </c>
      <c r="V25" s="4">
        <f t="shared" si="4"/>
        <v>46146</v>
      </c>
      <c r="W25">
        <f>IF(N25&lt;&gt;"Approved","",V25-_xlfn.XLOOKUP(M25,ReqSite_Export!$A$2:$A$82,ReqSite_Export!$K$2:$K$82))</f>
        <v>5</v>
      </c>
      <c r="X25">
        <f>IF(AND(I25="Filled",N25="Approved"),J25-_xlfn.XLOOKUP(M25,ReqSite_Export!$A$2:$A$82,ReqSite_Export!$K$2:$K$82),"")</f>
        <v>33</v>
      </c>
      <c r="Y25" t="str">
        <f t="shared" si="5"/>
        <v>HR</v>
      </c>
    </row>
    <row r="26" spans="1:25">
      <c r="A26" s="2">
        <v>4125</v>
      </c>
      <c r="B26" s="2" t="s">
        <v>163</v>
      </c>
      <c r="C26" s="2" t="s">
        <v>146</v>
      </c>
      <c r="D26" s="2" t="s">
        <v>291</v>
      </c>
      <c r="E26" s="2" t="s">
        <v>132</v>
      </c>
      <c r="F26" s="2" t="s">
        <v>278</v>
      </c>
      <c r="G26" s="2" t="s">
        <v>93</v>
      </c>
      <c r="H26" s="3">
        <v>46149</v>
      </c>
      <c r="I26" s="2" t="s">
        <v>274</v>
      </c>
      <c r="J26" s="3">
        <v>46223</v>
      </c>
      <c r="K26" s="2" t="s">
        <v>281</v>
      </c>
      <c r="L26" s="2">
        <v>85</v>
      </c>
      <c r="M26" t="str">
        <f t="shared" si="0"/>
        <v>RR-26-0030</v>
      </c>
      <c r="N26" t="str">
        <f>IF(M26="","Not found",_xlfn.XLOOKUP(M26,ReqSite_Export!$A$2:$A$82,ReqSite_Export!$J$2:$J$82,"Not found"))</f>
        <v>Approved</v>
      </c>
      <c r="O26" t="str">
        <f t="shared" si="1"/>
        <v>OK</v>
      </c>
      <c r="P26" t="str">
        <f>IF(N26="Not found","",_xlfn.XLOOKUP(M26,ReqSite_Export!$A$2:$A$82,ReqSite_Export!$E$2:$E$82,""))</f>
        <v>Analytics Engineer</v>
      </c>
      <c r="Q26" t="b">
        <f t="shared" si="2"/>
        <v>1</v>
      </c>
      <c r="R26" t="str">
        <f>IF(N26="Not found","",_xlfn.XLOOKUP(M26,ReqSite_Export!$A$2:$A$82,ReqSite_Export!$C$2:$C$82,""))</f>
        <v>Amy Sorensen</v>
      </c>
      <c r="S26" t="b">
        <f t="shared" si="3"/>
        <v>1</v>
      </c>
      <c r="T26" t="str">
        <f>IF(N26="Not found","",_xlfn.XLOOKUP(M26,ReqSite_Export!$A$2:$A$82,ReqSite_Export!$D$2:$D$82,""))</f>
        <v>Data &amp; Analytics</v>
      </c>
      <c r="U26" t="b">
        <f>IF(T26="","",TRIM(D26)=_xlfn.XLOOKUP(T26,Dept_Map!$A$2:$A$11,Dept_Map!$B$2:$B$11,""))</f>
        <v>1</v>
      </c>
      <c r="V26" s="4">
        <f t="shared" si="4"/>
        <v>46149</v>
      </c>
      <c r="W26">
        <f>IF(N26&lt;&gt;"Approved","",V26-_xlfn.XLOOKUP(M26,ReqSite_Export!$A$2:$A$82,ReqSite_Export!$K$2:$K$82))</f>
        <v>3</v>
      </c>
      <c r="X26">
        <f>IF(AND(I26="Filled",N26="Approved"),J26-_xlfn.XLOOKUP(M26,ReqSite_Export!$A$2:$A$82,ReqSite_Export!$K$2:$K$82),"")</f>
        <v>77</v>
      </c>
      <c r="Y26" t="str">
        <f t="shared" si="5"/>
        <v>Data and Analytics</v>
      </c>
    </row>
    <row r="27" spans="1:25">
      <c r="A27" s="2">
        <v>4126</v>
      </c>
      <c r="B27" s="2" t="s">
        <v>293</v>
      </c>
      <c r="C27" s="2" t="s">
        <v>120</v>
      </c>
      <c r="D27" s="2" t="s">
        <v>277</v>
      </c>
      <c r="E27" s="2" t="s">
        <v>119</v>
      </c>
      <c r="F27" s="2" t="s">
        <v>278</v>
      </c>
      <c r="G27" s="2" t="s">
        <v>93</v>
      </c>
      <c r="H27" s="3">
        <v>46153</v>
      </c>
      <c r="I27" s="2" t="s">
        <v>274</v>
      </c>
      <c r="J27" s="3">
        <v>46225</v>
      </c>
      <c r="K27" s="2" t="s">
        <v>275</v>
      </c>
      <c r="L27" s="2">
        <v>32</v>
      </c>
      <c r="M27" t="str">
        <f t="shared" si="0"/>
        <v>RR-26-0028</v>
      </c>
      <c r="N27" t="str">
        <f>IF(M27="","Not found",_xlfn.XLOOKUP(M27,ReqSite_Export!$A$2:$A$82,ReqSite_Export!$J$2:$J$82,"Not found"))</f>
        <v>Approved</v>
      </c>
      <c r="O27" t="str">
        <f t="shared" si="1"/>
        <v>OK</v>
      </c>
      <c r="P27" t="str">
        <f>IF(N27="Not found","",_xlfn.XLOOKUP(M27,ReqSite_Export!$A$2:$A$82,ReqSite_Export!$E$2:$E$82,""))</f>
        <v>IT Support Specialist</v>
      </c>
      <c r="Q27" t="b">
        <f t="shared" si="2"/>
        <v>1</v>
      </c>
      <c r="R27" t="str">
        <f>IF(N27="Not found","",_xlfn.XLOOKUP(M27,ReqSite_Export!$A$2:$A$82,ReqSite_Export!$C$2:$C$82,""))</f>
        <v>Fatima Hassan</v>
      </c>
      <c r="S27" t="b">
        <f t="shared" si="3"/>
        <v>1</v>
      </c>
      <c r="T27" t="str">
        <f>IF(N27="Not found","",_xlfn.XLOOKUP(M27,ReqSite_Export!$A$2:$A$82,ReqSite_Export!$D$2:$D$82,""))</f>
        <v>IT</v>
      </c>
      <c r="U27" t="b">
        <f>IF(T27="","",TRIM(D27)=_xlfn.XLOOKUP(T27,Dept_Map!$A$2:$A$11,Dept_Map!$B$2:$B$11,""))</f>
        <v>1</v>
      </c>
      <c r="V27" s="4">
        <f t="shared" si="4"/>
        <v>46153</v>
      </c>
      <c r="W27">
        <f>IF(N27&lt;&gt;"Approved","",V27-_xlfn.XLOOKUP(M27,ReqSite_Export!$A$2:$A$82,ReqSite_Export!$K$2:$K$82))</f>
        <v>5</v>
      </c>
      <c r="X27">
        <f>IF(AND(I27="Filled",N27="Approved"),J27-_xlfn.XLOOKUP(M27,ReqSite_Export!$A$2:$A$82,ReqSite_Export!$K$2:$K$82),"")</f>
        <v>77</v>
      </c>
      <c r="Y27" t="str">
        <f t="shared" si="5"/>
        <v>Information Technology</v>
      </c>
    </row>
    <row r="28" spans="1:25">
      <c r="A28" s="2">
        <v>4127</v>
      </c>
      <c r="B28" s="2" t="s">
        <v>153</v>
      </c>
      <c r="C28" s="2" t="s">
        <v>294</v>
      </c>
      <c r="D28" s="2" t="s">
        <v>81</v>
      </c>
      <c r="E28" s="2" t="s">
        <v>80</v>
      </c>
      <c r="F28" s="2" t="s">
        <v>273</v>
      </c>
      <c r="G28" s="2" t="s">
        <v>130</v>
      </c>
      <c r="H28" s="3">
        <v>46153</v>
      </c>
      <c r="I28" s="2" t="s">
        <v>274</v>
      </c>
      <c r="J28" s="3">
        <v>46230</v>
      </c>
      <c r="K28" s="2" t="s">
        <v>281</v>
      </c>
      <c r="L28" s="2">
        <v>100</v>
      </c>
      <c r="M28" t="str">
        <f t="shared" si="0"/>
        <v>RR-26-0025</v>
      </c>
      <c r="N28" t="str">
        <f>IF(M28="","Not found",_xlfn.XLOOKUP(M28,ReqSite_Export!$A$2:$A$82,ReqSite_Export!$J$2:$J$82,"Not found"))</f>
        <v>Approved</v>
      </c>
      <c r="O28" t="str">
        <f t="shared" si="1"/>
        <v>OK</v>
      </c>
      <c r="P28" t="str">
        <f>IF(N28="Not found","",_xlfn.XLOOKUP(M28,ReqSite_Export!$A$2:$A$82,ReqSite_Export!$E$2:$E$82,""))</f>
        <v>Research Analyst</v>
      </c>
      <c r="Q28" t="b">
        <f t="shared" si="2"/>
        <v>0</v>
      </c>
      <c r="R28" t="str">
        <f>IF(N28="Not found","",_xlfn.XLOOKUP(M28,ReqSite_Export!$A$2:$A$82,ReqSite_Export!$C$2:$C$82,""))</f>
        <v>Elena Vasquez</v>
      </c>
      <c r="S28" t="b">
        <f t="shared" si="3"/>
        <v>1</v>
      </c>
      <c r="T28" t="str">
        <f>IF(N28="Not found","",_xlfn.XLOOKUP(M28,ReqSite_Export!$A$2:$A$82,ReqSite_Export!$D$2:$D$82,""))</f>
        <v>Research</v>
      </c>
      <c r="U28" t="b">
        <f>IF(T28="","",TRIM(D28)=_xlfn.XLOOKUP(T28,Dept_Map!$A$2:$A$11,Dept_Map!$B$2:$B$11,""))</f>
        <v>1</v>
      </c>
      <c r="V28" s="4">
        <f t="shared" si="4"/>
        <v>46153</v>
      </c>
      <c r="W28">
        <f>IF(N28&lt;&gt;"Approved","",V28-_xlfn.XLOOKUP(M28,ReqSite_Export!$A$2:$A$82,ReqSite_Export!$K$2:$K$82))</f>
        <v>6</v>
      </c>
      <c r="X28">
        <f>IF(AND(I28="Filled",N28="Approved"),J28-_xlfn.XLOOKUP(M28,ReqSite_Export!$A$2:$A$82,ReqSite_Export!$K$2:$K$82),"")</f>
        <v>83</v>
      </c>
      <c r="Y28" t="str">
        <f t="shared" si="5"/>
        <v>Research</v>
      </c>
    </row>
    <row r="29" spans="1:25">
      <c r="A29" s="2">
        <v>4128</v>
      </c>
      <c r="B29" s="2" t="s">
        <v>166</v>
      </c>
      <c r="C29" s="2" t="s">
        <v>154</v>
      </c>
      <c r="D29" s="2" t="s">
        <v>81</v>
      </c>
      <c r="E29" s="2" t="s">
        <v>167</v>
      </c>
      <c r="F29" s="2" t="s">
        <v>273</v>
      </c>
      <c r="G29" s="2" t="s">
        <v>93</v>
      </c>
      <c r="H29" s="3">
        <v>46162</v>
      </c>
      <c r="I29" s="2" t="s">
        <v>274</v>
      </c>
      <c r="J29" s="3">
        <v>46223</v>
      </c>
      <c r="K29" s="2" t="s">
        <v>281</v>
      </c>
      <c r="L29" s="2">
        <v>105</v>
      </c>
      <c r="M29" t="str">
        <f t="shared" si="0"/>
        <v>RR-26-0032</v>
      </c>
      <c r="N29" t="str">
        <f>IF(M29="","Not found",_xlfn.XLOOKUP(M29,ReqSite_Export!$A$2:$A$82,ReqSite_Export!$J$2:$J$82,"Not found"))</f>
        <v>Approved</v>
      </c>
      <c r="O29" t="str">
        <f t="shared" si="1"/>
        <v>OK</v>
      </c>
      <c r="P29" t="str">
        <f>IF(N29="Not found","",_xlfn.XLOOKUP(M29,ReqSite_Export!$A$2:$A$82,ReqSite_Export!$E$2:$E$82,""))</f>
        <v>Research Analyst</v>
      </c>
      <c r="Q29" t="b">
        <f t="shared" si="2"/>
        <v>1</v>
      </c>
      <c r="R29" t="str">
        <f>IF(N29="Not found","",_xlfn.XLOOKUP(M29,ReqSite_Export!$A$2:$A$82,ReqSite_Export!$C$2:$C$82,""))</f>
        <v>Megan O'Neill</v>
      </c>
      <c r="S29" t="b">
        <f t="shared" si="3"/>
        <v>1</v>
      </c>
      <c r="T29" t="str">
        <f>IF(N29="Not found","",_xlfn.XLOOKUP(M29,ReqSite_Export!$A$2:$A$82,ReqSite_Export!$D$2:$D$82,""))</f>
        <v>Research</v>
      </c>
      <c r="U29" t="b">
        <f>IF(T29="","",TRIM(D29)=_xlfn.XLOOKUP(T29,Dept_Map!$A$2:$A$11,Dept_Map!$B$2:$B$11,""))</f>
        <v>1</v>
      </c>
      <c r="V29" s="4">
        <f t="shared" si="4"/>
        <v>46162</v>
      </c>
      <c r="W29">
        <f>IF(N29&lt;&gt;"Approved","",V29-_xlfn.XLOOKUP(M29,ReqSite_Export!$A$2:$A$82,ReqSite_Export!$K$2:$K$82))</f>
        <v>2</v>
      </c>
      <c r="X29">
        <f>IF(AND(I29="Filled",N29="Approved"),J29-_xlfn.XLOOKUP(M29,ReqSite_Export!$A$2:$A$82,ReqSite_Export!$K$2:$K$82),"")</f>
        <v>63</v>
      </c>
      <c r="Y29" t="str">
        <f t="shared" si="5"/>
        <v>Research</v>
      </c>
    </row>
    <row r="30" spans="1:25">
      <c r="A30" s="2">
        <v>4129</v>
      </c>
      <c r="B30" s="2" t="s">
        <v>168</v>
      </c>
      <c r="C30" s="2" t="s">
        <v>154</v>
      </c>
      <c r="D30" s="2" t="s">
        <v>81</v>
      </c>
      <c r="E30" s="2" t="s">
        <v>80</v>
      </c>
      <c r="F30" s="2" t="s">
        <v>273</v>
      </c>
      <c r="G30" s="2" t="s">
        <v>93</v>
      </c>
      <c r="H30" s="3">
        <v>46174</v>
      </c>
      <c r="I30" s="2" t="s">
        <v>274</v>
      </c>
      <c r="J30" s="3">
        <v>46225</v>
      </c>
      <c r="K30" s="2" t="s">
        <v>275</v>
      </c>
      <c r="L30" s="2">
        <v>92</v>
      </c>
      <c r="M30" t="str">
        <f t="shared" si="0"/>
        <v>RR-26-0033</v>
      </c>
      <c r="N30" t="str">
        <f>IF(M30="","Not found",_xlfn.XLOOKUP(M30,ReqSite_Export!$A$2:$A$82,ReqSite_Export!$J$2:$J$82,"Not found"))</f>
        <v>Approved</v>
      </c>
      <c r="O30" t="str">
        <f t="shared" si="1"/>
        <v>OK</v>
      </c>
      <c r="P30" t="str">
        <f>IF(N30="Not found","",_xlfn.XLOOKUP(M30,ReqSite_Export!$A$2:$A$82,ReqSite_Export!$E$2:$E$82,""))</f>
        <v>Research Analyst</v>
      </c>
      <c r="Q30" t="b">
        <f t="shared" si="2"/>
        <v>1</v>
      </c>
      <c r="R30" t="str">
        <f>IF(N30="Not found","",_xlfn.XLOOKUP(M30,ReqSite_Export!$A$2:$A$82,ReqSite_Export!$C$2:$C$82,""))</f>
        <v>Elena Vasquez</v>
      </c>
      <c r="S30" t="b">
        <f t="shared" si="3"/>
        <v>1</v>
      </c>
      <c r="T30" t="str">
        <f>IF(N30="Not found","",_xlfn.XLOOKUP(M30,ReqSite_Export!$A$2:$A$82,ReqSite_Export!$D$2:$D$82,""))</f>
        <v>Research</v>
      </c>
      <c r="U30" t="b">
        <f>IF(T30="","",TRIM(D30)=_xlfn.XLOOKUP(T30,Dept_Map!$A$2:$A$11,Dept_Map!$B$2:$B$11,""))</f>
        <v>1</v>
      </c>
      <c r="V30" s="4">
        <f t="shared" si="4"/>
        <v>46174</v>
      </c>
      <c r="W30">
        <f>IF(N30&lt;&gt;"Approved","",V30-_xlfn.XLOOKUP(M30,ReqSite_Export!$A$2:$A$82,ReqSite_Export!$K$2:$K$82))</f>
        <v>4</v>
      </c>
      <c r="X30">
        <f>IF(AND(I30="Filled",N30="Approved"),J30-_xlfn.XLOOKUP(M30,ReqSite_Export!$A$2:$A$82,ReqSite_Export!$K$2:$K$82),"")</f>
        <v>55</v>
      </c>
      <c r="Y30" t="str">
        <f t="shared" si="5"/>
        <v>Research</v>
      </c>
    </row>
    <row r="31" spans="1:25">
      <c r="A31" s="2">
        <v>4130</v>
      </c>
      <c r="B31" s="2" t="s">
        <v>172</v>
      </c>
      <c r="C31" s="2" t="s">
        <v>140</v>
      </c>
      <c r="D31" s="2" t="s">
        <v>86</v>
      </c>
      <c r="E31" s="2" t="s">
        <v>85</v>
      </c>
      <c r="F31" s="2" t="s">
        <v>276</v>
      </c>
      <c r="G31" s="2" t="s">
        <v>93</v>
      </c>
      <c r="H31" s="3">
        <v>46181</v>
      </c>
      <c r="I31" s="2" t="s">
        <v>274</v>
      </c>
      <c r="J31" s="3">
        <v>46209</v>
      </c>
      <c r="K31" s="2" t="s">
        <v>281</v>
      </c>
      <c r="L31" s="2">
        <v>75</v>
      </c>
      <c r="M31" t="str">
        <f t="shared" si="0"/>
        <v>RR-26-0036</v>
      </c>
      <c r="N31" t="str">
        <f>IF(M31="","Not found",_xlfn.XLOOKUP(M31,ReqSite_Export!$A$2:$A$82,ReqSite_Export!$J$2:$J$82,"Not found"))</f>
        <v>Approved</v>
      </c>
      <c r="O31" t="str">
        <f t="shared" si="1"/>
        <v>OK</v>
      </c>
      <c r="P31" t="str">
        <f>IF(N31="Not found","",_xlfn.XLOOKUP(M31,ReqSite_Export!$A$2:$A$82,ReqSite_Export!$E$2:$E$82,""))</f>
        <v>Sales Development Representative</v>
      </c>
      <c r="Q31" t="b">
        <f t="shared" si="2"/>
        <v>1</v>
      </c>
      <c r="R31" t="str">
        <f>IF(N31="Not found","",_xlfn.XLOOKUP(M31,ReqSite_Export!$A$2:$A$82,ReqSite_Export!$C$2:$C$82,""))</f>
        <v>Carlos Mendes</v>
      </c>
      <c r="S31" t="b">
        <f t="shared" si="3"/>
        <v>1</v>
      </c>
      <c r="T31" t="str">
        <f>IF(N31="Not found","",_xlfn.XLOOKUP(M31,ReqSite_Export!$A$2:$A$82,ReqSite_Export!$D$2:$D$82,""))</f>
        <v>Sales</v>
      </c>
      <c r="U31" t="b">
        <f>IF(T31="","",TRIM(D31)=_xlfn.XLOOKUP(T31,Dept_Map!$A$2:$A$11,Dept_Map!$B$2:$B$11,""))</f>
        <v>1</v>
      </c>
      <c r="V31" s="4">
        <f t="shared" si="4"/>
        <v>46181</v>
      </c>
      <c r="W31">
        <f>IF(N31&lt;&gt;"Approved","",V31-_xlfn.XLOOKUP(M31,ReqSite_Export!$A$2:$A$82,ReqSite_Export!$K$2:$K$82))</f>
        <v>3</v>
      </c>
      <c r="X31">
        <f>IF(AND(I31="Filled",N31="Approved"),J31-_xlfn.XLOOKUP(M31,ReqSite_Export!$A$2:$A$82,ReqSite_Export!$K$2:$K$82),"")</f>
        <v>31</v>
      </c>
      <c r="Y31" t="str">
        <f t="shared" si="5"/>
        <v>Sales</v>
      </c>
    </row>
    <row r="32" spans="1:25">
      <c r="A32" s="2">
        <v>4131</v>
      </c>
      <c r="B32" s="2" t="s">
        <v>173</v>
      </c>
      <c r="C32" s="2" t="s">
        <v>165</v>
      </c>
      <c r="D32" s="2" t="s">
        <v>81</v>
      </c>
      <c r="E32" s="2" t="s">
        <v>80</v>
      </c>
      <c r="F32" s="2" t="s">
        <v>273</v>
      </c>
      <c r="G32" s="2" t="s">
        <v>93</v>
      </c>
      <c r="H32" s="2" t="s">
        <v>295</v>
      </c>
      <c r="I32" s="2" t="s">
        <v>274</v>
      </c>
      <c r="J32" s="3">
        <v>46233</v>
      </c>
      <c r="K32" s="2" t="s">
        <v>281</v>
      </c>
      <c r="L32" s="2">
        <v>92</v>
      </c>
      <c r="M32" t="str">
        <f t="shared" si="0"/>
        <v>RR-26-0037</v>
      </c>
      <c r="N32" t="str">
        <f>IF(M32="","Not found",_xlfn.XLOOKUP(M32,ReqSite_Export!$A$2:$A$82,ReqSite_Export!$J$2:$J$82,"Not found"))</f>
        <v>Approved</v>
      </c>
      <c r="O32" t="str">
        <f t="shared" si="1"/>
        <v>OK</v>
      </c>
      <c r="P32" t="str">
        <f>IF(N32="Not found","",_xlfn.XLOOKUP(M32,ReqSite_Export!$A$2:$A$82,ReqSite_Export!$E$2:$E$82,""))</f>
        <v>Senior Research Analyst</v>
      </c>
      <c r="Q32" t="b">
        <f t="shared" si="2"/>
        <v>1</v>
      </c>
      <c r="R32" t="str">
        <f>IF(N32="Not found","",_xlfn.XLOOKUP(M32,ReqSite_Export!$A$2:$A$82,ReqSite_Export!$C$2:$C$82,""))</f>
        <v>Elena Vasquez</v>
      </c>
      <c r="S32" t="b">
        <f t="shared" si="3"/>
        <v>1</v>
      </c>
      <c r="T32" t="str">
        <f>IF(N32="Not found","",_xlfn.XLOOKUP(M32,ReqSite_Export!$A$2:$A$82,ReqSite_Export!$D$2:$D$82,""))</f>
        <v>Research</v>
      </c>
      <c r="U32" t="b">
        <f>IF(T32="","",TRIM(D32)=_xlfn.XLOOKUP(T32,Dept_Map!$A$2:$A$11,Dept_Map!$B$2:$B$11,""))</f>
        <v>1</v>
      </c>
      <c r="V32" s="4">
        <f t="shared" si="4"/>
        <v>46182</v>
      </c>
      <c r="W32">
        <f>IF(N32&lt;&gt;"Approved","",V32-_xlfn.XLOOKUP(M32,ReqSite_Export!$A$2:$A$82,ReqSite_Export!$K$2:$K$82))</f>
        <v>1</v>
      </c>
      <c r="X32">
        <f>IF(AND(I32="Filled",N32="Approved"),J32-_xlfn.XLOOKUP(M32,ReqSite_Export!$A$2:$A$82,ReqSite_Export!$K$2:$K$82),"")</f>
        <v>52</v>
      </c>
      <c r="Y32" t="str">
        <f t="shared" si="5"/>
        <v>Research</v>
      </c>
    </row>
    <row r="33" spans="1:25">
      <c r="A33" s="2">
        <v>4132</v>
      </c>
      <c r="B33" s="2" t="s">
        <v>169</v>
      </c>
      <c r="C33" s="2" t="s">
        <v>296</v>
      </c>
      <c r="D33" s="2" t="s">
        <v>289</v>
      </c>
      <c r="E33" s="2" t="s">
        <v>127</v>
      </c>
      <c r="F33" s="2" t="s">
        <v>273</v>
      </c>
      <c r="G33" s="2" t="s">
        <v>93</v>
      </c>
      <c r="H33" s="3">
        <v>46185</v>
      </c>
      <c r="I33" s="2" t="s">
        <v>274</v>
      </c>
      <c r="J33" s="3">
        <v>46258</v>
      </c>
      <c r="K33" s="2" t="s">
        <v>275</v>
      </c>
      <c r="L33" s="2">
        <v>39</v>
      </c>
      <c r="M33" t="str">
        <f t="shared" si="0"/>
        <v>RR-26-0034</v>
      </c>
      <c r="N33" t="str">
        <f>IF(M33="","Not found",_xlfn.XLOOKUP(M33,ReqSite_Export!$A$2:$A$82,ReqSite_Export!$J$2:$J$82,"Not found"))</f>
        <v>Approved</v>
      </c>
      <c r="O33" t="str">
        <f t="shared" si="1"/>
        <v>OK</v>
      </c>
      <c r="P33" t="str">
        <f>IF(N33="Not found","",_xlfn.XLOOKUP(M33,ReqSite_Export!$A$2:$A$82,ReqSite_Export!$E$2:$E$82,""))</f>
        <v>Senior Consultant</v>
      </c>
      <c r="Q33" t="b">
        <f t="shared" si="2"/>
        <v>0</v>
      </c>
      <c r="R33" t="str">
        <f>IF(N33="Not found","",_xlfn.XLOOKUP(M33,ReqSite_Export!$A$2:$A$82,ReqSite_Export!$C$2:$C$82,""))</f>
        <v>Sofia Marino</v>
      </c>
      <c r="S33" t="b">
        <f t="shared" si="3"/>
        <v>1</v>
      </c>
      <c r="T33" t="str">
        <f>IF(N33="Not found","",_xlfn.XLOOKUP(M33,ReqSite_Export!$A$2:$A$82,ReqSite_Export!$D$2:$D$82,""))</f>
        <v>Consulting</v>
      </c>
      <c r="U33" t="b">
        <f>IF(T33="","",TRIM(D33)=_xlfn.XLOOKUP(T33,Dept_Map!$A$2:$A$11,Dept_Map!$B$2:$B$11,""))</f>
        <v>1</v>
      </c>
      <c r="V33" s="4">
        <f t="shared" si="4"/>
        <v>46185</v>
      </c>
      <c r="W33">
        <f>IF(N33&lt;&gt;"Approved","",V33-_xlfn.XLOOKUP(M33,ReqSite_Export!$A$2:$A$82,ReqSite_Export!$K$2:$K$82))</f>
        <v>16</v>
      </c>
      <c r="X33">
        <f>IF(AND(I33="Filled",N33="Approved"),J33-_xlfn.XLOOKUP(M33,ReqSite_Export!$A$2:$A$82,ReqSite_Export!$K$2:$K$82),"")</f>
        <v>89</v>
      </c>
      <c r="Y33" t="str">
        <f t="shared" si="5"/>
        <v>Consulting Services</v>
      </c>
    </row>
    <row r="34" spans="1:25">
      <c r="A34" s="2">
        <v>4133</v>
      </c>
      <c r="B34" s="2" t="s">
        <v>178</v>
      </c>
      <c r="C34" s="2" t="s">
        <v>177</v>
      </c>
      <c r="D34" s="2" t="s">
        <v>86</v>
      </c>
      <c r="E34" s="2" t="s">
        <v>85</v>
      </c>
      <c r="F34" s="2" t="s">
        <v>276</v>
      </c>
      <c r="G34" s="2" t="s">
        <v>130</v>
      </c>
      <c r="H34" s="3">
        <v>46196</v>
      </c>
      <c r="I34" s="2" t="s">
        <v>274</v>
      </c>
      <c r="J34" s="3">
        <v>46226</v>
      </c>
      <c r="K34" s="2" t="s">
        <v>281</v>
      </c>
      <c r="L34" s="2">
        <v>63</v>
      </c>
      <c r="M34" t="str">
        <f t="shared" si="0"/>
        <v>RR-26-0040</v>
      </c>
      <c r="N34" t="str">
        <f>IF(M34="","Not found",_xlfn.XLOOKUP(M34,ReqSite_Export!$A$2:$A$82,ReqSite_Export!$J$2:$J$82,"Not found"))</f>
        <v>Approved</v>
      </c>
      <c r="O34" t="str">
        <f t="shared" si="1"/>
        <v>OK</v>
      </c>
      <c r="P34" t="str">
        <f>IF(N34="Not found","",_xlfn.XLOOKUP(M34,ReqSite_Export!$A$2:$A$82,ReqSite_Export!$E$2:$E$82,""))</f>
        <v>Account Manager</v>
      </c>
      <c r="Q34" t="b">
        <f t="shared" si="2"/>
        <v>1</v>
      </c>
      <c r="R34" t="str">
        <f>IF(N34="Not found","",_xlfn.XLOOKUP(M34,ReqSite_Export!$A$2:$A$82,ReqSite_Export!$C$2:$C$82,""))</f>
        <v>Carlos Mendes</v>
      </c>
      <c r="S34" t="b">
        <f t="shared" si="3"/>
        <v>1</v>
      </c>
      <c r="T34" t="str">
        <f>IF(N34="Not found","",_xlfn.XLOOKUP(M34,ReqSite_Export!$A$2:$A$82,ReqSite_Export!$D$2:$D$82,""))</f>
        <v>Sales</v>
      </c>
      <c r="U34" t="b">
        <f>IF(T34="","",TRIM(D34)=_xlfn.XLOOKUP(T34,Dept_Map!$A$2:$A$11,Dept_Map!$B$2:$B$11,""))</f>
        <v>1</v>
      </c>
      <c r="V34" s="4">
        <f t="shared" si="4"/>
        <v>46196</v>
      </c>
      <c r="W34">
        <f>IF(N34&lt;&gt;"Approved","",V34-_xlfn.XLOOKUP(M34,ReqSite_Export!$A$2:$A$82,ReqSite_Export!$K$2:$K$82))</f>
        <v>1</v>
      </c>
      <c r="X34">
        <f>IF(AND(I34="Filled",N34="Approved"),J34-_xlfn.XLOOKUP(M34,ReqSite_Export!$A$2:$A$82,ReqSite_Export!$K$2:$K$82),"")</f>
        <v>31</v>
      </c>
      <c r="Y34" t="str">
        <f t="shared" si="5"/>
        <v>Sales</v>
      </c>
    </row>
    <row r="35" spans="1:25">
      <c r="A35" s="2">
        <v>4134</v>
      </c>
      <c r="B35" s="2" t="s">
        <v>174</v>
      </c>
      <c r="C35" s="2" t="s">
        <v>175</v>
      </c>
      <c r="D35" s="2" t="s">
        <v>286</v>
      </c>
      <c r="E35" s="2" t="s">
        <v>161</v>
      </c>
      <c r="F35" s="2" t="s">
        <v>276</v>
      </c>
      <c r="G35" s="2" t="s">
        <v>93</v>
      </c>
      <c r="H35" s="2" t="s">
        <v>297</v>
      </c>
      <c r="I35" s="2" t="s">
        <v>274</v>
      </c>
      <c r="J35" s="3">
        <v>46244</v>
      </c>
      <c r="K35" s="2" t="s">
        <v>283</v>
      </c>
      <c r="L35" s="2">
        <v>26</v>
      </c>
      <c r="M35" t="str">
        <f t="shared" si="0"/>
        <v>RR-26-0038</v>
      </c>
      <c r="N35" t="str">
        <f>IF(M35="","Not found",_xlfn.XLOOKUP(M35,ReqSite_Export!$A$2:$A$82,ReqSite_Export!$J$2:$J$82,"Not found"))</f>
        <v>Approved</v>
      </c>
      <c r="O35" t="str">
        <f t="shared" si="1"/>
        <v>OK</v>
      </c>
      <c r="P35" t="str">
        <f>IF(N35="Not found","",_xlfn.XLOOKUP(M35,ReqSite_Export!$A$2:$A$82,ReqSite_Export!$E$2:$E$82,""))</f>
        <v>Digital Marketing Analyst</v>
      </c>
      <c r="Q35" t="b">
        <f t="shared" si="2"/>
        <v>1</v>
      </c>
      <c r="R35" t="str">
        <f>IF(N35="Not found","",_xlfn.XLOOKUP(M35,ReqSite_Export!$A$2:$A$82,ReqSite_Export!$C$2:$C$82,""))</f>
        <v>Ethan Park</v>
      </c>
      <c r="S35" t="b">
        <f t="shared" si="3"/>
        <v>1</v>
      </c>
      <c r="T35" t="str">
        <f>IF(N35="Not found","",_xlfn.XLOOKUP(M35,ReqSite_Export!$A$2:$A$82,ReqSite_Export!$D$2:$D$82,""))</f>
        <v>Marketing</v>
      </c>
      <c r="U35" t="b">
        <f>IF(T35="","",TRIM(D35)=_xlfn.XLOOKUP(T35,Dept_Map!$A$2:$A$11,Dept_Map!$B$2:$B$11,""))</f>
        <v>1</v>
      </c>
      <c r="V35" s="4">
        <f t="shared" si="4"/>
        <v>46204</v>
      </c>
      <c r="W35">
        <f>IF(N35&lt;&gt;"Approved","",V35-_xlfn.XLOOKUP(M35,ReqSite_Export!$A$2:$A$82,ReqSite_Export!$K$2:$K$82))</f>
        <v>16</v>
      </c>
      <c r="X35">
        <f>IF(AND(I35="Filled",N35="Approved"),J35-_xlfn.XLOOKUP(M35,ReqSite_Export!$A$2:$A$82,ReqSite_Export!$K$2:$K$82),"")</f>
        <v>56</v>
      </c>
      <c r="Y35" t="str">
        <f t="shared" si="5"/>
        <v>Mktg &amp; Comms</v>
      </c>
    </row>
    <row r="36" spans="1:25">
      <c r="A36" s="2">
        <v>4135</v>
      </c>
      <c r="B36" s="2" t="s">
        <v>181</v>
      </c>
      <c r="C36" s="2" t="s">
        <v>183</v>
      </c>
      <c r="D36" s="2" t="s">
        <v>282</v>
      </c>
      <c r="E36" s="2" t="s">
        <v>182</v>
      </c>
      <c r="F36" s="2" t="s">
        <v>278</v>
      </c>
      <c r="G36" s="2" t="s">
        <v>83</v>
      </c>
      <c r="H36" s="3">
        <v>46209</v>
      </c>
      <c r="I36" s="2" t="s">
        <v>274</v>
      </c>
      <c r="J36" s="3">
        <v>46244</v>
      </c>
      <c r="K36" s="2" t="s">
        <v>275</v>
      </c>
      <c r="L36" s="2">
        <v>59</v>
      </c>
      <c r="M36" t="str">
        <f t="shared" si="0"/>
        <v>RR-26-0043</v>
      </c>
      <c r="N36" t="str">
        <f>IF(M36="","Not found",_xlfn.XLOOKUP(M36,ReqSite_Export!$A$2:$A$82,ReqSite_Export!$J$2:$J$82,"Not found"))</f>
        <v>Approved</v>
      </c>
      <c r="O36" t="str">
        <f t="shared" si="1"/>
        <v>OK</v>
      </c>
      <c r="P36" t="str">
        <f>IF(N36="Not found","",_xlfn.XLOOKUP(M36,ReqSite_Export!$A$2:$A$82,ReqSite_Export!$E$2:$E$82,""))</f>
        <v>UX Designer</v>
      </c>
      <c r="Q36" t="b">
        <f t="shared" si="2"/>
        <v>1</v>
      </c>
      <c r="R36" t="str">
        <f>IF(N36="Not found","",_xlfn.XLOOKUP(M36,ReqSite_Export!$A$2:$A$82,ReqSite_Export!$C$2:$C$82,""))</f>
        <v>Leah Goldberg</v>
      </c>
      <c r="S36" t="b">
        <f t="shared" si="3"/>
        <v>1</v>
      </c>
      <c r="T36" t="str">
        <f>IF(N36="Not found","",_xlfn.XLOOKUP(M36,ReqSite_Export!$A$2:$A$82,ReqSite_Export!$D$2:$D$82,""))</f>
        <v>Product</v>
      </c>
      <c r="U36" t="b">
        <f>IF(T36="","",TRIM(D36)=_xlfn.XLOOKUP(T36,Dept_Map!$A$2:$A$11,Dept_Map!$B$2:$B$11,""))</f>
        <v>1</v>
      </c>
      <c r="V36" s="4">
        <f t="shared" si="4"/>
        <v>46209</v>
      </c>
      <c r="W36">
        <f>IF(N36&lt;&gt;"Approved","",V36-_xlfn.XLOOKUP(M36,ReqSite_Export!$A$2:$A$82,ReqSite_Export!$K$2:$K$82))</f>
        <v>6</v>
      </c>
      <c r="X36">
        <f>IF(AND(I36="Filled",N36="Approved"),J36-_xlfn.XLOOKUP(M36,ReqSite_Export!$A$2:$A$82,ReqSite_Export!$K$2:$K$82),"")</f>
        <v>41</v>
      </c>
      <c r="Y36" t="str">
        <f t="shared" si="5"/>
        <v>Product Mgmt</v>
      </c>
    </row>
    <row r="37" spans="1:25">
      <c r="A37" s="2">
        <v>4136</v>
      </c>
      <c r="B37" s="2" t="s">
        <v>189</v>
      </c>
      <c r="C37" s="2" t="s">
        <v>190</v>
      </c>
      <c r="D37" s="2" t="s">
        <v>81</v>
      </c>
      <c r="E37" s="2" t="s">
        <v>156</v>
      </c>
      <c r="F37" s="2" t="s">
        <v>273</v>
      </c>
      <c r="G37" s="2" t="s">
        <v>93</v>
      </c>
      <c r="H37" s="3">
        <v>46210</v>
      </c>
      <c r="I37" s="2" t="s">
        <v>274</v>
      </c>
      <c r="J37" s="3">
        <v>46244</v>
      </c>
      <c r="K37" s="2" t="s">
        <v>281</v>
      </c>
      <c r="L37" s="2">
        <v>107</v>
      </c>
      <c r="M37" t="str">
        <f t="shared" si="0"/>
        <v>RR-26-0047</v>
      </c>
      <c r="N37" t="str">
        <f>IF(M37="","Not found",_xlfn.XLOOKUP(M37,ReqSite_Export!$A$2:$A$82,ReqSite_Export!$J$2:$J$82,"Not found"))</f>
        <v>Approved</v>
      </c>
      <c r="O37" t="str">
        <f t="shared" si="1"/>
        <v>OK</v>
      </c>
      <c r="P37" t="str">
        <f>IF(N37="Not found","",_xlfn.XLOOKUP(M37,ReqSite_Export!$A$2:$A$82,ReqSite_Export!$E$2:$E$82,""))</f>
        <v>Research Associate</v>
      </c>
      <c r="Q37" t="b">
        <f t="shared" si="2"/>
        <v>1</v>
      </c>
      <c r="R37" t="str">
        <f>IF(N37="Not found","",_xlfn.XLOOKUP(M37,ReqSite_Export!$A$2:$A$82,ReqSite_Export!$C$2:$C$82,""))</f>
        <v>Brian Cho</v>
      </c>
      <c r="S37" t="b">
        <f t="shared" si="3"/>
        <v>1</v>
      </c>
      <c r="T37" t="str">
        <f>IF(N37="Not found","",_xlfn.XLOOKUP(M37,ReqSite_Export!$A$2:$A$82,ReqSite_Export!$D$2:$D$82,""))</f>
        <v>Research</v>
      </c>
      <c r="U37" t="b">
        <f>IF(T37="","",TRIM(D37)=_xlfn.XLOOKUP(T37,Dept_Map!$A$2:$A$11,Dept_Map!$B$2:$B$11,""))</f>
        <v>1</v>
      </c>
      <c r="V37" s="4">
        <f t="shared" si="4"/>
        <v>46210</v>
      </c>
      <c r="W37">
        <f>IF(N37&lt;&gt;"Approved","",V37-_xlfn.XLOOKUP(M37,ReqSite_Export!$A$2:$A$82,ReqSite_Export!$K$2:$K$82))</f>
        <v>1</v>
      </c>
      <c r="X37">
        <f>IF(AND(I37="Filled",N37="Approved"),J37-_xlfn.XLOOKUP(M37,ReqSite_Export!$A$2:$A$82,ReqSite_Export!$K$2:$K$82),"")</f>
        <v>35</v>
      </c>
      <c r="Y37" t="str">
        <f t="shared" si="5"/>
        <v>Research</v>
      </c>
    </row>
    <row r="38" spans="1:25">
      <c r="A38" s="2">
        <v>4137</v>
      </c>
      <c r="B38" s="2" t="s">
        <v>184</v>
      </c>
      <c r="C38" s="2" t="s">
        <v>146</v>
      </c>
      <c r="D38" s="2" t="s">
        <v>291</v>
      </c>
      <c r="E38" s="2" t="s">
        <v>145</v>
      </c>
      <c r="F38" s="2" t="s">
        <v>278</v>
      </c>
      <c r="G38" s="2" t="s">
        <v>78</v>
      </c>
      <c r="H38" s="3">
        <v>46212</v>
      </c>
      <c r="I38" s="2" t="s">
        <v>274</v>
      </c>
      <c r="J38" s="3">
        <v>46266</v>
      </c>
      <c r="K38" s="2" t="s">
        <v>281</v>
      </c>
      <c r="L38" s="2">
        <v>84</v>
      </c>
      <c r="M38" t="str">
        <f t="shared" si="0"/>
        <v>RR-26-0044</v>
      </c>
      <c r="N38" t="str">
        <f>IF(M38="","Not found",_xlfn.XLOOKUP(M38,ReqSite_Export!$A$2:$A$82,ReqSite_Export!$J$2:$J$82,"Not found"))</f>
        <v>Approved</v>
      </c>
      <c r="O38" t="str">
        <f t="shared" si="1"/>
        <v>OK</v>
      </c>
      <c r="P38" t="str">
        <f>IF(N38="Not found","",_xlfn.XLOOKUP(M38,ReqSite_Export!$A$2:$A$82,ReqSite_Export!$E$2:$E$82,""))</f>
        <v>Analytics Engineer</v>
      </c>
      <c r="Q38" t="b">
        <f t="shared" si="2"/>
        <v>1</v>
      </c>
      <c r="R38" t="str">
        <f>IF(N38="Not found","",_xlfn.XLOOKUP(M38,ReqSite_Export!$A$2:$A$82,ReqSite_Export!$C$2:$C$82,""))</f>
        <v>Nikhil Rao</v>
      </c>
      <c r="S38" t="b">
        <f t="shared" si="3"/>
        <v>1</v>
      </c>
      <c r="T38" t="str">
        <f>IF(N38="Not found","",_xlfn.XLOOKUP(M38,ReqSite_Export!$A$2:$A$82,ReqSite_Export!$D$2:$D$82,""))</f>
        <v>Data &amp; Analytics</v>
      </c>
      <c r="U38" t="b">
        <f>IF(T38="","",TRIM(D38)=_xlfn.XLOOKUP(T38,Dept_Map!$A$2:$A$11,Dept_Map!$B$2:$B$11,""))</f>
        <v>1</v>
      </c>
      <c r="V38" s="4">
        <f t="shared" si="4"/>
        <v>46212</v>
      </c>
      <c r="W38">
        <f>IF(N38&lt;&gt;"Approved","",V38-_xlfn.XLOOKUP(M38,ReqSite_Export!$A$2:$A$82,ReqSite_Export!$K$2:$K$82))</f>
        <v>3</v>
      </c>
      <c r="X38">
        <f>IF(AND(I38="Filled",N38="Approved"),J38-_xlfn.XLOOKUP(M38,ReqSite_Export!$A$2:$A$82,ReqSite_Export!$K$2:$K$82),"")</f>
        <v>57</v>
      </c>
      <c r="Y38" t="str">
        <f t="shared" si="5"/>
        <v>Data and Analytics</v>
      </c>
    </row>
    <row r="39" spans="1:25">
      <c r="A39" s="2">
        <v>4138</v>
      </c>
      <c r="B39" s="2"/>
      <c r="C39" s="2" t="s">
        <v>82</v>
      </c>
      <c r="D39" s="2" t="s">
        <v>81</v>
      </c>
      <c r="E39" s="2" t="s">
        <v>240</v>
      </c>
      <c r="F39" s="2" t="s">
        <v>273</v>
      </c>
      <c r="G39" s="2" t="s">
        <v>93</v>
      </c>
      <c r="H39" s="3">
        <v>46217</v>
      </c>
      <c r="I39" s="2" t="s">
        <v>298</v>
      </c>
      <c r="J39" s="2"/>
      <c r="K39" s="2"/>
      <c r="L39" s="2">
        <v>41</v>
      </c>
      <c r="M39" t="str">
        <f t="shared" si="0"/>
        <v/>
      </c>
      <c r="N39" t="str">
        <f>IF(M39="","Not found",_xlfn.XLOOKUP(M39,ReqSite_Export!$A$2:$A$82,ReqSite_Export!$J$2:$J$82,"Not found"))</f>
        <v>Not found</v>
      </c>
      <c r="O39" t="str">
        <f t="shared" si="1"/>
        <v>No request on file</v>
      </c>
      <c r="P39" t="str">
        <f>IF(N39="Not found","",_xlfn.XLOOKUP(M39,ReqSite_Export!$A$2:$A$82,ReqSite_Export!$E$2:$E$82,""))</f>
        <v/>
      </c>
      <c r="Q39" t="str">
        <f t="shared" si="2"/>
        <v/>
      </c>
      <c r="R39" t="str">
        <f>IF(N39="Not found","",_xlfn.XLOOKUP(M39,ReqSite_Export!$A$2:$A$82,ReqSite_Export!$C$2:$C$82,""))</f>
        <v/>
      </c>
      <c r="S39" t="str">
        <f t="shared" si="3"/>
        <v/>
      </c>
      <c r="T39" t="str">
        <f>IF(N39="Not found","",_xlfn.XLOOKUP(M39,ReqSite_Export!$A$2:$A$82,ReqSite_Export!$D$2:$D$82,""))</f>
        <v/>
      </c>
      <c r="U39" t="str">
        <f>IF(T39="","",TRIM(D39)=_xlfn.XLOOKUP(T39,Dept_Map!$A$2:$A$11,Dept_Map!$B$2:$B$11,""))</f>
        <v/>
      </c>
      <c r="V39" s="4">
        <f t="shared" si="4"/>
        <v>46217</v>
      </c>
      <c r="W39" t="str">
        <f>IF(N39&lt;&gt;"Approved","",V39-_xlfn.XLOOKUP(M39,ReqSite_Export!$A$2:$A$82,ReqSite_Export!$K$2:$K$82))</f>
        <v/>
      </c>
      <c r="X39" t="str">
        <f>IF(AND(I39="Filled",N39="Approved"),J39-_xlfn.XLOOKUP(M39,ReqSite_Export!$A$2:$A$82,ReqSite_Export!$K$2:$K$82),"")</f>
        <v/>
      </c>
      <c r="Y39" t="str">
        <f t="shared" si="5"/>
        <v>Research</v>
      </c>
    </row>
    <row r="40" spans="1:25">
      <c r="A40" s="2">
        <v>4139</v>
      </c>
      <c r="B40" s="2" t="s">
        <v>187</v>
      </c>
      <c r="C40" s="2" t="s">
        <v>188</v>
      </c>
      <c r="D40" s="2" t="s">
        <v>299</v>
      </c>
      <c r="E40" s="2" t="s">
        <v>150</v>
      </c>
      <c r="F40" s="2" t="s">
        <v>280</v>
      </c>
      <c r="G40" s="2" t="s">
        <v>83</v>
      </c>
      <c r="H40" s="3">
        <v>46225</v>
      </c>
      <c r="I40" s="2" t="s">
        <v>274</v>
      </c>
      <c r="J40" s="3">
        <v>46274</v>
      </c>
      <c r="K40" s="2" t="s">
        <v>275</v>
      </c>
      <c r="L40" s="2">
        <v>61</v>
      </c>
      <c r="M40" t="str">
        <f t="shared" si="0"/>
        <v>RR-26-0046</v>
      </c>
      <c r="N40" t="str">
        <f>IF(M40="","Not found",_xlfn.XLOOKUP(M40,ReqSite_Export!$A$2:$A$82,ReqSite_Export!$J$2:$J$82,"Not found"))</f>
        <v>Approved</v>
      </c>
      <c r="O40" t="str">
        <f t="shared" si="1"/>
        <v>OK</v>
      </c>
      <c r="P40" t="str">
        <f>IF(N40="Not found","",_xlfn.XLOOKUP(M40,ReqSite_Export!$A$2:$A$82,ReqSite_Export!$E$2:$E$82,""))</f>
        <v>HR Coordinator</v>
      </c>
      <c r="Q40" t="b">
        <f t="shared" si="2"/>
        <v>1</v>
      </c>
      <c r="R40" t="str">
        <f>IF(N40="Not found","",_xlfn.XLOOKUP(M40,ReqSite_Export!$A$2:$A$82,ReqSite_Export!$C$2:$C$82,""))</f>
        <v>Robert Hayes</v>
      </c>
      <c r="S40" t="b">
        <f t="shared" si="3"/>
        <v>1</v>
      </c>
      <c r="T40" t="str">
        <f>IF(N40="Not found","",_xlfn.XLOOKUP(M40,ReqSite_Export!$A$2:$A$82,ReqSite_Export!$D$2:$D$82,""))</f>
        <v>Human Resources</v>
      </c>
      <c r="U40" t="b">
        <f>IF(T40="","",TRIM(D40)=_xlfn.XLOOKUP(T40,Dept_Map!$A$2:$A$11,Dept_Map!$B$2:$B$11,""))</f>
        <v>1</v>
      </c>
      <c r="V40" s="4">
        <f t="shared" si="4"/>
        <v>46225</v>
      </c>
      <c r="W40">
        <f>IF(N40&lt;&gt;"Approved","",V40-_xlfn.XLOOKUP(M40,ReqSite_Export!$A$2:$A$82,ReqSite_Export!$K$2:$K$82))</f>
        <v>16</v>
      </c>
      <c r="X40">
        <f>IF(AND(I40="Filled",N40="Approved"),J40-_xlfn.XLOOKUP(M40,ReqSite_Export!$A$2:$A$82,ReqSite_Export!$K$2:$K$82),"")</f>
        <v>65</v>
      </c>
      <c r="Y40" t="str">
        <f t="shared" si="5"/>
        <v>HR</v>
      </c>
    </row>
    <row r="41" spans="1:25">
      <c r="A41" s="2">
        <v>4140</v>
      </c>
      <c r="B41" s="2" t="s">
        <v>300</v>
      </c>
      <c r="C41" s="2" t="s">
        <v>82</v>
      </c>
      <c r="D41" s="2" t="s">
        <v>81</v>
      </c>
      <c r="E41" s="2" t="s">
        <v>167</v>
      </c>
      <c r="F41" s="2" t="s">
        <v>273</v>
      </c>
      <c r="G41" s="2" t="s">
        <v>83</v>
      </c>
      <c r="H41" s="3">
        <v>46230</v>
      </c>
      <c r="I41" s="2" t="s">
        <v>274</v>
      </c>
      <c r="J41" s="3">
        <v>46258</v>
      </c>
      <c r="K41" s="2" t="s">
        <v>283</v>
      </c>
      <c r="L41" s="2">
        <v>45</v>
      </c>
      <c r="M41" t="str">
        <f t="shared" si="0"/>
        <v>RR-26-0052</v>
      </c>
      <c r="N41" t="str">
        <f>IF(M41="","Not found",_xlfn.XLOOKUP(M41,ReqSite_Export!$A$2:$A$82,ReqSite_Export!$J$2:$J$82,"Not found"))</f>
        <v>Approved</v>
      </c>
      <c r="O41" t="str">
        <f t="shared" si="1"/>
        <v>OK</v>
      </c>
      <c r="P41" t="str">
        <f>IF(N41="Not found","",_xlfn.XLOOKUP(M41,ReqSite_Export!$A$2:$A$82,ReqSite_Export!$E$2:$E$82,""))</f>
        <v>Research Director</v>
      </c>
      <c r="Q41" t="b">
        <f t="shared" si="2"/>
        <v>1</v>
      </c>
      <c r="R41" t="str">
        <f>IF(N41="Not found","",_xlfn.XLOOKUP(M41,ReqSite_Export!$A$2:$A$82,ReqSite_Export!$C$2:$C$82,""))</f>
        <v>Megan O'Neill</v>
      </c>
      <c r="S41" t="b">
        <f t="shared" si="3"/>
        <v>1</v>
      </c>
      <c r="T41" t="str">
        <f>IF(N41="Not found","",_xlfn.XLOOKUP(M41,ReqSite_Export!$A$2:$A$82,ReqSite_Export!$D$2:$D$82,""))</f>
        <v>Research</v>
      </c>
      <c r="U41" t="b">
        <f>IF(T41="","",TRIM(D41)=_xlfn.XLOOKUP(T41,Dept_Map!$A$2:$A$11,Dept_Map!$B$2:$B$11,""))</f>
        <v>1</v>
      </c>
      <c r="V41" s="4">
        <f t="shared" si="4"/>
        <v>46230</v>
      </c>
      <c r="W41">
        <f>IF(N41&lt;&gt;"Approved","",V41-_xlfn.XLOOKUP(M41,ReqSite_Export!$A$2:$A$82,ReqSite_Export!$K$2:$K$82))</f>
        <v>3</v>
      </c>
      <c r="X41">
        <f>IF(AND(I41="Filled",N41="Approved"),J41-_xlfn.XLOOKUP(M41,ReqSite_Export!$A$2:$A$82,ReqSite_Export!$K$2:$K$82),"")</f>
        <v>31</v>
      </c>
      <c r="Y41" t="str">
        <f t="shared" si="5"/>
        <v>Research</v>
      </c>
    </row>
    <row r="42" spans="1:25">
      <c r="A42" s="2">
        <v>4141</v>
      </c>
      <c r="B42" s="2" t="s">
        <v>301</v>
      </c>
      <c r="C42" s="2" t="s">
        <v>154</v>
      </c>
      <c r="D42" s="2" t="s">
        <v>81</v>
      </c>
      <c r="E42" s="2" t="s">
        <v>156</v>
      </c>
      <c r="F42" s="2" t="s">
        <v>273</v>
      </c>
      <c r="G42" s="2" t="s">
        <v>93</v>
      </c>
      <c r="H42" s="3">
        <v>46233</v>
      </c>
      <c r="I42" s="2" t="s">
        <v>274</v>
      </c>
      <c r="J42" s="3">
        <v>46295</v>
      </c>
      <c r="K42" s="2" t="s">
        <v>283</v>
      </c>
      <c r="L42" s="2">
        <v>95</v>
      </c>
      <c r="M42" t="str">
        <f t="shared" si="0"/>
        <v>RR-26-O050</v>
      </c>
      <c r="N42" t="str">
        <f>IF(M42="","Not found",_xlfn.XLOOKUP(M42,ReqSite_Export!$A$2:$A$82,ReqSite_Export!$J$2:$J$82,"Not found"))</f>
        <v>Not found</v>
      </c>
      <c r="O42" t="str">
        <f t="shared" si="1"/>
        <v>No request on file</v>
      </c>
      <c r="P42" t="str">
        <f>IF(N42="Not found","",_xlfn.XLOOKUP(M42,ReqSite_Export!$A$2:$A$82,ReqSite_Export!$E$2:$E$82,""))</f>
        <v/>
      </c>
      <c r="Q42" t="str">
        <f t="shared" si="2"/>
        <v/>
      </c>
      <c r="R42" t="str">
        <f>IF(N42="Not found","",_xlfn.XLOOKUP(M42,ReqSite_Export!$A$2:$A$82,ReqSite_Export!$C$2:$C$82,""))</f>
        <v/>
      </c>
      <c r="S42" t="str">
        <f t="shared" si="3"/>
        <v/>
      </c>
      <c r="T42" t="str">
        <f>IF(N42="Not found","",_xlfn.XLOOKUP(M42,ReqSite_Export!$A$2:$A$82,ReqSite_Export!$D$2:$D$82,""))</f>
        <v/>
      </c>
      <c r="U42" t="str">
        <f>IF(T42="","",TRIM(D42)=_xlfn.XLOOKUP(T42,Dept_Map!$A$2:$A$11,Dept_Map!$B$2:$B$11,""))</f>
        <v/>
      </c>
      <c r="V42" s="4">
        <f t="shared" si="4"/>
        <v>46233</v>
      </c>
      <c r="W42" t="str">
        <f>IF(N42&lt;&gt;"Approved","",V42-_xlfn.XLOOKUP(M42,ReqSite_Export!$A$2:$A$82,ReqSite_Export!$K$2:$K$82))</f>
        <v/>
      </c>
      <c r="X42" t="str">
        <f>IF(AND(I42="Filled",N42="Approved"),J42-_xlfn.XLOOKUP(M42,ReqSite_Export!$A$2:$A$82,ReqSite_Export!$K$2:$K$82),"")</f>
        <v/>
      </c>
      <c r="Y42" t="str">
        <f t="shared" si="5"/>
        <v>Research</v>
      </c>
    </row>
    <row r="43" spans="1:25">
      <c r="A43" s="2">
        <v>4142</v>
      </c>
      <c r="B43" s="2" t="s">
        <v>194</v>
      </c>
      <c r="C43" s="2" t="s">
        <v>154</v>
      </c>
      <c r="D43" s="2" t="s">
        <v>81</v>
      </c>
      <c r="E43" s="2" t="s">
        <v>156</v>
      </c>
      <c r="F43" s="2" t="s">
        <v>273</v>
      </c>
      <c r="G43" s="2" t="s">
        <v>93</v>
      </c>
      <c r="H43" s="3">
        <v>46237</v>
      </c>
      <c r="I43" s="2" t="s">
        <v>298</v>
      </c>
      <c r="J43" s="2"/>
      <c r="K43" s="2"/>
      <c r="L43" s="2">
        <v>46</v>
      </c>
      <c r="M43" t="str">
        <f t="shared" si="0"/>
        <v>RR-26-0051</v>
      </c>
      <c r="N43" t="str">
        <f>IF(M43="","Not found",_xlfn.XLOOKUP(M43,ReqSite_Export!$A$2:$A$82,ReqSite_Export!$J$2:$J$82,"Not found"))</f>
        <v>Approved</v>
      </c>
      <c r="O43" t="str">
        <f t="shared" si="1"/>
        <v>OK</v>
      </c>
      <c r="P43" t="str">
        <f>IF(N43="Not found","",_xlfn.XLOOKUP(M43,ReqSite_Export!$A$2:$A$82,ReqSite_Export!$E$2:$E$82,""))</f>
        <v>Research Analyst</v>
      </c>
      <c r="Q43" t="b">
        <f t="shared" si="2"/>
        <v>1</v>
      </c>
      <c r="R43" t="str">
        <f>IF(N43="Not found","",_xlfn.XLOOKUP(M43,ReqSite_Export!$A$2:$A$82,ReqSite_Export!$C$2:$C$82,""))</f>
        <v>Elena Vasquez</v>
      </c>
      <c r="S43" t="b">
        <f t="shared" si="3"/>
        <v>0</v>
      </c>
      <c r="T43" t="str">
        <f>IF(N43="Not found","",_xlfn.XLOOKUP(M43,ReqSite_Export!$A$2:$A$82,ReqSite_Export!$D$2:$D$82,""))</f>
        <v>Research</v>
      </c>
      <c r="U43" t="b">
        <f>IF(T43="","",TRIM(D43)=_xlfn.XLOOKUP(T43,Dept_Map!$A$2:$A$11,Dept_Map!$B$2:$B$11,""))</f>
        <v>1</v>
      </c>
      <c r="V43" s="4">
        <f t="shared" si="4"/>
        <v>46237</v>
      </c>
      <c r="W43">
        <f>IF(N43&lt;&gt;"Approved","",V43-_xlfn.XLOOKUP(M43,ReqSite_Export!$A$2:$A$82,ReqSite_Export!$K$2:$K$82))</f>
        <v>11</v>
      </c>
      <c r="X43" t="str">
        <f>IF(AND(I43="Filled",N43="Approved"),J43-_xlfn.XLOOKUP(M43,ReqSite_Export!$A$2:$A$82,ReqSite_Export!$K$2:$K$82),"")</f>
        <v/>
      </c>
      <c r="Y43" t="str">
        <f t="shared" si="5"/>
        <v>Research</v>
      </c>
    </row>
    <row r="44" spans="1:25">
      <c r="A44" s="2">
        <v>4143</v>
      </c>
      <c r="B44" s="2" t="s">
        <v>192</v>
      </c>
      <c r="C44" s="2" t="s">
        <v>302</v>
      </c>
      <c r="D44" s="2" t="s">
        <v>81</v>
      </c>
      <c r="E44" s="2" t="s">
        <v>167</v>
      </c>
      <c r="F44" s="2" t="s">
        <v>273</v>
      </c>
      <c r="G44" s="2" t="s">
        <v>78</v>
      </c>
      <c r="H44" s="3">
        <v>46240</v>
      </c>
      <c r="I44" s="2" t="s">
        <v>274</v>
      </c>
      <c r="J44" s="3">
        <v>46280</v>
      </c>
      <c r="K44" s="2" t="s">
        <v>281</v>
      </c>
      <c r="L44" s="2">
        <v>54</v>
      </c>
      <c r="M44" t="str">
        <f t="shared" si="0"/>
        <v>RR-26-0049</v>
      </c>
      <c r="N44" t="str">
        <f>IF(M44="","Not found",_xlfn.XLOOKUP(M44,ReqSite_Export!$A$2:$A$82,ReqSite_Export!$J$2:$J$82,"Not found"))</f>
        <v>Approved</v>
      </c>
      <c r="O44" t="str">
        <f t="shared" si="1"/>
        <v>OK</v>
      </c>
      <c r="P44" t="str">
        <f>IF(N44="Not found","",_xlfn.XLOOKUP(M44,ReqSite_Export!$A$2:$A$82,ReqSite_Export!$E$2:$E$82,""))</f>
        <v>Senior Research Analyst</v>
      </c>
      <c r="Q44" t="b">
        <f t="shared" si="2"/>
        <v>0</v>
      </c>
      <c r="R44" t="str">
        <f>IF(N44="Not found","",_xlfn.XLOOKUP(M44,ReqSite_Export!$A$2:$A$82,ReqSite_Export!$C$2:$C$82,""))</f>
        <v>Megan O'Neill</v>
      </c>
      <c r="S44" t="b">
        <f t="shared" si="3"/>
        <v>1</v>
      </c>
      <c r="T44" t="str">
        <f>IF(N44="Not found","",_xlfn.XLOOKUP(M44,ReqSite_Export!$A$2:$A$82,ReqSite_Export!$D$2:$D$82,""))</f>
        <v>Research</v>
      </c>
      <c r="U44" t="b">
        <f>IF(T44="","",TRIM(D44)=_xlfn.XLOOKUP(T44,Dept_Map!$A$2:$A$11,Dept_Map!$B$2:$B$11,""))</f>
        <v>1</v>
      </c>
      <c r="V44" s="4">
        <f t="shared" si="4"/>
        <v>46240</v>
      </c>
      <c r="W44">
        <f>IF(N44&lt;&gt;"Approved","",V44-_xlfn.XLOOKUP(M44,ReqSite_Export!$A$2:$A$82,ReqSite_Export!$K$2:$K$82))</f>
        <v>16</v>
      </c>
      <c r="X44">
        <f>IF(AND(I44="Filled",N44="Approved"),J44-_xlfn.XLOOKUP(M44,ReqSite_Export!$A$2:$A$82,ReqSite_Export!$K$2:$K$82),"")</f>
        <v>56</v>
      </c>
      <c r="Y44" t="str">
        <f t="shared" si="5"/>
        <v>Research</v>
      </c>
    </row>
    <row r="45" spans="1:25">
      <c r="A45" s="2">
        <v>4144</v>
      </c>
      <c r="B45" s="2" t="s">
        <v>196</v>
      </c>
      <c r="C45" s="2" t="s">
        <v>197</v>
      </c>
      <c r="D45" s="2" t="s">
        <v>96</v>
      </c>
      <c r="E45" s="2" t="s">
        <v>110</v>
      </c>
      <c r="F45" s="2" t="s">
        <v>276</v>
      </c>
      <c r="G45" s="2" t="s">
        <v>93</v>
      </c>
      <c r="H45" s="3">
        <v>46244</v>
      </c>
      <c r="I45" s="2" t="s">
        <v>298</v>
      </c>
      <c r="J45" s="2"/>
      <c r="K45" s="2"/>
      <c r="L45" s="2">
        <v>18</v>
      </c>
      <c r="M45" t="str">
        <f t="shared" si="0"/>
        <v>RR-26-0053</v>
      </c>
      <c r="N45" t="str">
        <f>IF(M45="","Not found",_xlfn.XLOOKUP(M45,ReqSite_Export!$A$2:$A$82,ReqSite_Export!$J$2:$J$82,"Not found"))</f>
        <v>Approved</v>
      </c>
      <c r="O45" t="str">
        <f t="shared" si="1"/>
        <v>OK</v>
      </c>
      <c r="P45" t="str">
        <f>IF(N45="Not found","",_xlfn.XLOOKUP(M45,ReqSite_Export!$A$2:$A$82,ReqSite_Export!$E$2:$E$82,""))</f>
        <v>Sponsorship Sales Manager</v>
      </c>
      <c r="Q45" t="b">
        <f t="shared" si="2"/>
        <v>1</v>
      </c>
      <c r="R45" t="str">
        <f>IF(N45="Not found","",_xlfn.XLOOKUP(M45,ReqSite_Export!$A$2:$A$82,ReqSite_Export!$C$2:$C$82,""))</f>
        <v>Grace Holloway</v>
      </c>
      <c r="S45" t="b">
        <f t="shared" si="3"/>
        <v>1</v>
      </c>
      <c r="T45" t="str">
        <f>IF(N45="Not found","",_xlfn.XLOOKUP(M45,ReqSite_Export!$A$2:$A$82,ReqSite_Export!$D$2:$D$82,""))</f>
        <v>Events</v>
      </c>
      <c r="U45" t="b">
        <f>IF(T45="","",TRIM(D45)=_xlfn.XLOOKUP(T45,Dept_Map!$A$2:$A$11,Dept_Map!$B$2:$B$11,""))</f>
        <v>1</v>
      </c>
      <c r="V45" s="4">
        <f t="shared" si="4"/>
        <v>46244</v>
      </c>
      <c r="W45">
        <f>IF(N45&lt;&gt;"Approved","",V45-_xlfn.XLOOKUP(M45,ReqSite_Export!$A$2:$A$82,ReqSite_Export!$K$2:$K$82))</f>
        <v>11</v>
      </c>
      <c r="X45" t="str">
        <f>IF(AND(I45="Filled",N45="Approved"),J45-_xlfn.XLOOKUP(M45,ReqSite_Export!$A$2:$A$82,ReqSite_Export!$K$2:$K$82),"")</f>
        <v/>
      </c>
      <c r="Y45" t="str">
        <f t="shared" si="5"/>
        <v>Events</v>
      </c>
    </row>
    <row r="46" spans="1:25">
      <c r="A46" s="2">
        <v>4145</v>
      </c>
      <c r="B46" s="2" t="s">
        <v>303</v>
      </c>
      <c r="C46" s="2" t="s">
        <v>87</v>
      </c>
      <c r="D46" s="2" t="s">
        <v>86</v>
      </c>
      <c r="E46" s="2" t="s">
        <v>107</v>
      </c>
      <c r="F46" s="2" t="s">
        <v>276</v>
      </c>
      <c r="G46" s="2" t="s">
        <v>93</v>
      </c>
      <c r="H46" s="3">
        <v>46246</v>
      </c>
      <c r="I46" s="2" t="s">
        <v>298</v>
      </c>
      <c r="J46" s="2"/>
      <c r="K46" s="2"/>
      <c r="L46" s="2">
        <v>45</v>
      </c>
      <c r="M46" t="str">
        <f t="shared" si="0"/>
        <v>RR-26-0054</v>
      </c>
      <c r="N46" t="str">
        <f>IF(M46="","Not found",_xlfn.XLOOKUP(M46,ReqSite_Export!$A$2:$A$82,ReqSite_Export!$J$2:$J$82,"Not found"))</f>
        <v>Approved</v>
      </c>
      <c r="O46" t="str">
        <f t="shared" si="1"/>
        <v>OK</v>
      </c>
      <c r="P46" t="str">
        <f>IF(N46="Not found","",_xlfn.XLOOKUP(M46,ReqSite_Export!$A$2:$A$82,ReqSite_Export!$E$2:$E$82,""))</f>
        <v>Sales Operations Analyst</v>
      </c>
      <c r="Q46" t="b">
        <f t="shared" si="2"/>
        <v>1</v>
      </c>
      <c r="R46" t="str">
        <f>IF(N46="Not found","",_xlfn.XLOOKUP(M46,ReqSite_Export!$A$2:$A$82,ReqSite_Export!$C$2:$C$82,""))</f>
        <v>Jasmine Reid</v>
      </c>
      <c r="S46" t="b">
        <f t="shared" si="3"/>
        <v>1</v>
      </c>
      <c r="T46" t="str">
        <f>IF(N46="Not found","",_xlfn.XLOOKUP(M46,ReqSite_Export!$A$2:$A$82,ReqSite_Export!$D$2:$D$82,""))</f>
        <v>Sales</v>
      </c>
      <c r="U46" t="b">
        <f>IF(T46="","",TRIM(D46)=_xlfn.XLOOKUP(T46,Dept_Map!$A$2:$A$11,Dept_Map!$B$2:$B$11,""))</f>
        <v>1</v>
      </c>
      <c r="V46" s="4">
        <f t="shared" si="4"/>
        <v>46246</v>
      </c>
      <c r="W46">
        <f>IF(N46&lt;&gt;"Approved","",V46-_xlfn.XLOOKUP(M46,ReqSite_Export!$A$2:$A$82,ReqSite_Export!$K$2:$K$82))</f>
        <v>5</v>
      </c>
      <c r="X46" t="str">
        <f>IF(AND(I46="Filled",N46="Approved"),J46-_xlfn.XLOOKUP(M46,ReqSite_Export!$A$2:$A$82,ReqSite_Export!$K$2:$K$82),"")</f>
        <v/>
      </c>
      <c r="Y46" t="str">
        <f t="shared" si="5"/>
        <v>Sales</v>
      </c>
    </row>
    <row r="47" spans="1:25">
      <c r="A47" s="2">
        <v>4146</v>
      </c>
      <c r="B47" s="2" t="s">
        <v>201</v>
      </c>
      <c r="C47" s="2" t="s">
        <v>101</v>
      </c>
      <c r="D47" s="2" t="s">
        <v>100</v>
      </c>
      <c r="E47" s="2" t="s">
        <v>99</v>
      </c>
      <c r="F47" s="2" t="s">
        <v>280</v>
      </c>
      <c r="G47" s="2" t="s">
        <v>83</v>
      </c>
      <c r="H47" s="3">
        <v>46253</v>
      </c>
      <c r="I47" s="2" t="s">
        <v>298</v>
      </c>
      <c r="J47" s="2"/>
      <c r="K47" s="2"/>
      <c r="L47" s="2">
        <v>51</v>
      </c>
      <c r="M47" t="str">
        <f t="shared" si="0"/>
        <v>RR-26-0056</v>
      </c>
      <c r="N47" t="str">
        <f>IF(M47="","Not found",_xlfn.XLOOKUP(M47,ReqSite_Export!$A$2:$A$82,ReqSite_Export!$J$2:$J$82,"Not found"))</f>
        <v>Approved</v>
      </c>
      <c r="O47" t="str">
        <f t="shared" si="1"/>
        <v>OK</v>
      </c>
      <c r="P47" t="str">
        <f>IF(N47="Not found","",_xlfn.XLOOKUP(M47,ReqSite_Export!$A$2:$A$82,ReqSite_Export!$E$2:$E$82,""))</f>
        <v>Financial Analyst</v>
      </c>
      <c r="Q47" t="b">
        <f t="shared" si="2"/>
        <v>1</v>
      </c>
      <c r="R47" t="str">
        <f>IF(N47="Not found","",_xlfn.XLOOKUP(M47,ReqSite_Export!$A$2:$A$82,ReqSite_Export!$C$2:$C$82,""))</f>
        <v>Paul Mercer</v>
      </c>
      <c r="S47" t="b">
        <f t="shared" si="3"/>
        <v>1</v>
      </c>
      <c r="T47" t="str">
        <f>IF(N47="Not found","",_xlfn.XLOOKUP(M47,ReqSite_Export!$A$2:$A$82,ReqSite_Export!$D$2:$D$82,""))</f>
        <v>Finance</v>
      </c>
      <c r="U47" t="b">
        <f>IF(T47="","",TRIM(D47)=_xlfn.XLOOKUP(T47,Dept_Map!$A$2:$A$11,Dept_Map!$B$2:$B$11,""))</f>
        <v>1</v>
      </c>
      <c r="V47" s="4">
        <f t="shared" si="4"/>
        <v>46253</v>
      </c>
      <c r="W47">
        <f>IF(N47&lt;&gt;"Approved","",V47-_xlfn.XLOOKUP(M47,ReqSite_Export!$A$2:$A$82,ReqSite_Export!$K$2:$K$82))</f>
        <v>9</v>
      </c>
      <c r="X47" t="str">
        <f>IF(AND(I47="Filled",N47="Approved"),J47-_xlfn.XLOOKUP(M47,ReqSite_Export!$A$2:$A$82,ReqSite_Export!$K$2:$K$82),"")</f>
        <v/>
      </c>
      <c r="Y47" t="str">
        <f t="shared" si="5"/>
        <v>Finance</v>
      </c>
    </row>
    <row r="48" spans="1:25">
      <c r="A48" s="2">
        <v>4147</v>
      </c>
      <c r="B48" s="2" t="s">
        <v>200</v>
      </c>
      <c r="C48" s="2" t="s">
        <v>129</v>
      </c>
      <c r="D48" s="2" t="s">
        <v>289</v>
      </c>
      <c r="E48" s="2" t="s">
        <v>127</v>
      </c>
      <c r="F48" s="2" t="s">
        <v>273</v>
      </c>
      <c r="G48" s="2" t="s">
        <v>78</v>
      </c>
      <c r="H48" s="3">
        <v>46254</v>
      </c>
      <c r="I48" s="2" t="s">
        <v>304</v>
      </c>
      <c r="J48" s="2"/>
      <c r="K48" s="2"/>
      <c r="L48" s="2">
        <v>58</v>
      </c>
      <c r="M48" t="str">
        <f t="shared" si="0"/>
        <v>RR-26-0055</v>
      </c>
      <c r="N48" t="str">
        <f>IF(M48="","Not found",_xlfn.XLOOKUP(M48,ReqSite_Export!$A$2:$A$82,ReqSite_Export!$J$2:$J$82,"Not found"))</f>
        <v>Approved</v>
      </c>
      <c r="O48" t="str">
        <f t="shared" si="1"/>
        <v>OK</v>
      </c>
      <c r="P48" t="str">
        <f>IF(N48="Not found","",_xlfn.XLOOKUP(M48,ReqSite_Export!$A$2:$A$82,ReqSite_Export!$E$2:$E$82,""))</f>
        <v>Engagement Manager</v>
      </c>
      <c r="Q48" t="b">
        <f t="shared" si="2"/>
        <v>1</v>
      </c>
      <c r="R48" t="str">
        <f>IF(N48="Not found","",_xlfn.XLOOKUP(M48,ReqSite_Export!$A$2:$A$82,ReqSite_Export!$C$2:$C$82,""))</f>
        <v>Sofia Marino</v>
      </c>
      <c r="S48" t="b">
        <f t="shared" si="3"/>
        <v>1</v>
      </c>
      <c r="T48" t="str">
        <f>IF(N48="Not found","",_xlfn.XLOOKUP(M48,ReqSite_Export!$A$2:$A$82,ReqSite_Export!$D$2:$D$82,""))</f>
        <v>Consulting</v>
      </c>
      <c r="U48" t="b">
        <f>IF(T48="","",TRIM(D48)=_xlfn.XLOOKUP(T48,Dept_Map!$A$2:$A$11,Dept_Map!$B$2:$B$11,""))</f>
        <v>1</v>
      </c>
      <c r="V48" s="4">
        <f t="shared" si="4"/>
        <v>46254</v>
      </c>
      <c r="W48">
        <f>IF(N48&lt;&gt;"Approved","",V48-_xlfn.XLOOKUP(M48,ReqSite_Export!$A$2:$A$82,ReqSite_Export!$K$2:$K$82))</f>
        <v>3</v>
      </c>
      <c r="X48" t="str">
        <f>IF(AND(I48="Filled",N48="Approved"),J48-_xlfn.XLOOKUP(M48,ReqSite_Export!$A$2:$A$82,ReqSite_Export!$K$2:$K$82),"")</f>
        <v/>
      </c>
      <c r="Y48" t="str">
        <f t="shared" si="5"/>
        <v>Consulting Services</v>
      </c>
    </row>
    <row r="49" spans="1:25">
      <c r="A49" s="2">
        <v>4148</v>
      </c>
      <c r="B49" s="2" t="s">
        <v>204</v>
      </c>
      <c r="C49" s="2" t="s">
        <v>177</v>
      </c>
      <c r="D49" s="2" t="s">
        <v>86</v>
      </c>
      <c r="E49" s="2" t="s">
        <v>91</v>
      </c>
      <c r="F49" s="2" t="s">
        <v>276</v>
      </c>
      <c r="G49" s="2" t="s">
        <v>93</v>
      </c>
      <c r="H49" s="3">
        <v>46254</v>
      </c>
      <c r="I49" s="2" t="s">
        <v>304</v>
      </c>
      <c r="J49" s="2"/>
      <c r="K49" s="2"/>
      <c r="L49" s="2">
        <v>71</v>
      </c>
      <c r="M49" t="str">
        <f t="shared" si="0"/>
        <v>RR-26-0059</v>
      </c>
      <c r="N49" t="str">
        <f>IF(M49="","Not found",_xlfn.XLOOKUP(M49,ReqSite_Export!$A$2:$A$82,ReqSite_Export!$J$2:$J$82,"Not found"))</f>
        <v>Approved</v>
      </c>
      <c r="O49" t="str">
        <f t="shared" si="1"/>
        <v>OK</v>
      </c>
      <c r="P49" t="str">
        <f>IF(N49="Not found","",_xlfn.XLOOKUP(M49,ReqSite_Export!$A$2:$A$82,ReqSite_Export!$E$2:$E$82,""))</f>
        <v>Account Manager</v>
      </c>
      <c r="Q49" t="b">
        <f t="shared" si="2"/>
        <v>1</v>
      </c>
      <c r="R49" t="str">
        <f>IF(N49="Not found","",_xlfn.XLOOKUP(M49,ReqSite_Export!$A$2:$A$82,ReqSite_Export!$C$2:$C$82,""))</f>
        <v>Michael Grant</v>
      </c>
      <c r="S49" t="b">
        <f t="shared" si="3"/>
        <v>1</v>
      </c>
      <c r="T49" t="str">
        <f>IF(N49="Not found","",_xlfn.XLOOKUP(M49,ReqSite_Export!$A$2:$A$82,ReqSite_Export!$D$2:$D$82,""))</f>
        <v>Sales</v>
      </c>
      <c r="U49" t="b">
        <f>IF(T49="","",TRIM(D49)=_xlfn.XLOOKUP(T49,Dept_Map!$A$2:$A$11,Dept_Map!$B$2:$B$11,""))</f>
        <v>1</v>
      </c>
      <c r="V49" s="4">
        <f t="shared" si="4"/>
        <v>46254</v>
      </c>
      <c r="W49">
        <f>IF(N49&lt;&gt;"Approved","",V49-_xlfn.XLOOKUP(M49,ReqSite_Export!$A$2:$A$82,ReqSite_Export!$K$2:$K$82))</f>
        <v>2</v>
      </c>
      <c r="X49" t="str">
        <f>IF(AND(I49="Filled",N49="Approved"),J49-_xlfn.XLOOKUP(M49,ReqSite_Export!$A$2:$A$82,ReqSite_Export!$K$2:$K$82),"")</f>
        <v/>
      </c>
      <c r="Y49" t="str">
        <f t="shared" si="5"/>
        <v>Sales</v>
      </c>
    </row>
    <row r="50" spans="1:25">
      <c r="A50" s="2">
        <v>4149</v>
      </c>
      <c r="B50" s="2" t="s">
        <v>205</v>
      </c>
      <c r="C50" s="2" t="s">
        <v>190</v>
      </c>
      <c r="D50" s="2" t="s">
        <v>81</v>
      </c>
      <c r="E50" s="2" t="s">
        <v>167</v>
      </c>
      <c r="F50" s="2" t="s">
        <v>273</v>
      </c>
      <c r="G50" s="2" t="s">
        <v>93</v>
      </c>
      <c r="H50" s="3">
        <v>46266</v>
      </c>
      <c r="I50" s="2" t="s">
        <v>274</v>
      </c>
      <c r="J50" s="3">
        <v>46293</v>
      </c>
      <c r="K50" s="2" t="s">
        <v>283</v>
      </c>
      <c r="L50" s="2">
        <v>89</v>
      </c>
      <c r="M50" t="str">
        <f t="shared" si="0"/>
        <v>RR-26-0060</v>
      </c>
      <c r="N50" t="str">
        <f>IF(M50="","Not found",_xlfn.XLOOKUP(M50,ReqSite_Export!$A$2:$A$82,ReqSite_Export!$J$2:$J$82,"Not found"))</f>
        <v>Approved</v>
      </c>
      <c r="O50" t="str">
        <f t="shared" si="1"/>
        <v>OK</v>
      </c>
      <c r="P50" t="str">
        <f>IF(N50="Not found","",_xlfn.XLOOKUP(M50,ReqSite_Export!$A$2:$A$82,ReqSite_Export!$E$2:$E$82,""))</f>
        <v>Research Associate</v>
      </c>
      <c r="Q50" t="b">
        <f t="shared" si="2"/>
        <v>1</v>
      </c>
      <c r="R50" t="str">
        <f>IF(N50="Not found","",_xlfn.XLOOKUP(M50,ReqSite_Export!$A$2:$A$82,ReqSite_Export!$C$2:$C$82,""))</f>
        <v>Megan O'Neill</v>
      </c>
      <c r="S50" t="b">
        <f t="shared" si="3"/>
        <v>1</v>
      </c>
      <c r="T50" t="str">
        <f>IF(N50="Not found","",_xlfn.XLOOKUP(M50,ReqSite_Export!$A$2:$A$82,ReqSite_Export!$D$2:$D$82,""))</f>
        <v>Research</v>
      </c>
      <c r="U50" t="b">
        <f>IF(T50="","",TRIM(D50)=_xlfn.XLOOKUP(T50,Dept_Map!$A$2:$A$11,Dept_Map!$B$2:$B$11,""))</f>
        <v>1</v>
      </c>
      <c r="V50" s="4">
        <f t="shared" si="4"/>
        <v>46266</v>
      </c>
      <c r="W50">
        <f>IF(N50&lt;&gt;"Approved","",V50-_xlfn.XLOOKUP(M50,ReqSite_Export!$A$2:$A$82,ReqSite_Export!$K$2:$K$82))</f>
        <v>5</v>
      </c>
      <c r="X50">
        <f>IF(AND(I50="Filled",N50="Approved"),J50-_xlfn.XLOOKUP(M50,ReqSite_Export!$A$2:$A$82,ReqSite_Export!$K$2:$K$82),"")</f>
        <v>32</v>
      </c>
      <c r="Y50" t="str">
        <f t="shared" si="5"/>
        <v>Research</v>
      </c>
    </row>
    <row r="51" spans="1:25">
      <c r="A51" s="2">
        <v>4150</v>
      </c>
      <c r="B51" s="2" t="s">
        <v>208</v>
      </c>
      <c r="C51" s="2" t="s">
        <v>170</v>
      </c>
      <c r="D51" s="2" t="s">
        <v>289</v>
      </c>
      <c r="E51" s="2" t="s">
        <v>127</v>
      </c>
      <c r="F51" s="2" t="s">
        <v>273</v>
      </c>
      <c r="G51" s="2" t="s">
        <v>78</v>
      </c>
      <c r="H51" s="3">
        <v>46273</v>
      </c>
      <c r="I51" s="2" t="s">
        <v>298</v>
      </c>
      <c r="J51" s="2"/>
      <c r="K51" s="2"/>
      <c r="L51" s="2">
        <v>19</v>
      </c>
      <c r="M51" t="str">
        <f t="shared" si="0"/>
        <v>RR-26-0063</v>
      </c>
      <c r="N51" t="str">
        <f>IF(M51="","Not found",_xlfn.XLOOKUP(M51,ReqSite_Export!$A$2:$A$82,ReqSite_Export!$J$2:$J$82,"Not found"))</f>
        <v>Approved</v>
      </c>
      <c r="O51" t="str">
        <f t="shared" si="1"/>
        <v>OK</v>
      </c>
      <c r="P51" t="str">
        <f>IF(N51="Not found","",_xlfn.XLOOKUP(M51,ReqSite_Export!$A$2:$A$82,ReqSite_Export!$E$2:$E$82,""))</f>
        <v>Senior Consultant</v>
      </c>
      <c r="Q51" t="b">
        <f t="shared" si="2"/>
        <v>1</v>
      </c>
      <c r="R51" t="str">
        <f>IF(N51="Not found","",_xlfn.XLOOKUP(M51,ReqSite_Export!$A$2:$A$82,ReqSite_Export!$C$2:$C$82,""))</f>
        <v>Sofia Marino</v>
      </c>
      <c r="S51" t="b">
        <f t="shared" si="3"/>
        <v>1</v>
      </c>
      <c r="T51" t="str">
        <f>IF(N51="Not found","",_xlfn.XLOOKUP(M51,ReqSite_Export!$A$2:$A$82,ReqSite_Export!$D$2:$D$82,""))</f>
        <v>Consulting</v>
      </c>
      <c r="U51" t="b">
        <f>IF(T51="","",TRIM(D51)=_xlfn.XLOOKUP(T51,Dept_Map!$A$2:$A$11,Dept_Map!$B$2:$B$11,""))</f>
        <v>1</v>
      </c>
      <c r="V51" s="4">
        <f t="shared" si="4"/>
        <v>46273</v>
      </c>
      <c r="W51">
        <f>IF(N51&lt;&gt;"Approved","",V51-_xlfn.XLOOKUP(M51,ReqSite_Export!$A$2:$A$82,ReqSite_Export!$K$2:$K$82))</f>
        <v>0</v>
      </c>
      <c r="X51" t="str">
        <f>IF(AND(I51="Filled",N51="Approved"),J51-_xlfn.XLOOKUP(M51,ReqSite_Export!$A$2:$A$82,ReqSite_Export!$K$2:$K$82),"")</f>
        <v/>
      </c>
      <c r="Y51" t="str">
        <f t="shared" si="5"/>
        <v>Consulting Services</v>
      </c>
    </row>
    <row r="52" spans="1:25">
      <c r="A52" s="2">
        <v>4151</v>
      </c>
      <c r="B52" s="2" t="s">
        <v>207</v>
      </c>
      <c r="C52" s="2" t="s">
        <v>105</v>
      </c>
      <c r="D52" s="2" t="s">
        <v>282</v>
      </c>
      <c r="E52" s="2" t="s">
        <v>182</v>
      </c>
      <c r="F52" s="2" t="s">
        <v>278</v>
      </c>
      <c r="G52" s="2" t="s">
        <v>83</v>
      </c>
      <c r="H52" s="3">
        <v>46274</v>
      </c>
      <c r="I52" s="2" t="s">
        <v>298</v>
      </c>
      <c r="J52" s="2"/>
      <c r="K52" s="2"/>
      <c r="L52" s="2">
        <v>20</v>
      </c>
      <c r="M52" t="str">
        <f t="shared" si="0"/>
        <v>RR-26-0062</v>
      </c>
      <c r="N52" t="str">
        <f>IF(M52="","Not found",_xlfn.XLOOKUP(M52,ReqSite_Export!$A$2:$A$82,ReqSite_Export!$J$2:$J$82,"Not found"))</f>
        <v>Approved</v>
      </c>
      <c r="O52" t="str">
        <f t="shared" si="1"/>
        <v>OK</v>
      </c>
      <c r="P52" t="str">
        <f>IF(N52="Not found","",_xlfn.XLOOKUP(M52,ReqSite_Export!$A$2:$A$82,ReqSite_Export!$E$2:$E$82,""))</f>
        <v>Product Manager</v>
      </c>
      <c r="Q52" t="b">
        <f t="shared" si="2"/>
        <v>1</v>
      </c>
      <c r="R52" t="str">
        <f>IF(N52="Not found","",_xlfn.XLOOKUP(M52,ReqSite_Export!$A$2:$A$82,ReqSite_Export!$C$2:$C$82,""))</f>
        <v>Leah Goldberg</v>
      </c>
      <c r="S52" t="b">
        <f t="shared" si="3"/>
        <v>1</v>
      </c>
      <c r="T52" t="str">
        <f>IF(N52="Not found","",_xlfn.XLOOKUP(M52,ReqSite_Export!$A$2:$A$82,ReqSite_Export!$D$2:$D$82,""))</f>
        <v>Product</v>
      </c>
      <c r="U52" t="b">
        <f>IF(T52="","",TRIM(D52)=_xlfn.XLOOKUP(T52,Dept_Map!$A$2:$A$11,Dept_Map!$B$2:$B$11,""))</f>
        <v>1</v>
      </c>
      <c r="V52" s="4">
        <f t="shared" si="4"/>
        <v>46274</v>
      </c>
      <c r="W52">
        <f>IF(N52&lt;&gt;"Approved","",V52-_xlfn.XLOOKUP(M52,ReqSite_Export!$A$2:$A$82,ReqSite_Export!$K$2:$K$82))</f>
        <v>0</v>
      </c>
      <c r="X52" t="str">
        <f>IF(AND(I52="Filled",N52="Approved"),J52-_xlfn.XLOOKUP(M52,ReqSite_Export!$A$2:$A$82,ReqSite_Export!$K$2:$K$82),"")</f>
        <v/>
      </c>
      <c r="Y52" t="str">
        <f t="shared" si="5"/>
        <v>Product Mgmt</v>
      </c>
    </row>
    <row r="53" spans="1:25">
      <c r="A53" s="2">
        <v>4152</v>
      </c>
      <c r="B53" s="2" t="s">
        <v>206</v>
      </c>
      <c r="C53" s="2" t="s">
        <v>175</v>
      </c>
      <c r="D53" s="2" t="s">
        <v>286</v>
      </c>
      <c r="E53" s="2" t="s">
        <v>161</v>
      </c>
      <c r="F53" s="2" t="s">
        <v>276</v>
      </c>
      <c r="G53" s="2" t="s">
        <v>78</v>
      </c>
      <c r="H53" s="3">
        <v>46274</v>
      </c>
      <c r="I53" s="2" t="s">
        <v>298</v>
      </c>
      <c r="J53" s="2"/>
      <c r="K53" s="2"/>
      <c r="L53" s="2">
        <v>59</v>
      </c>
      <c r="M53" t="str">
        <f t="shared" si="0"/>
        <v>RR-26-0061</v>
      </c>
      <c r="N53" t="str">
        <f>IF(M53="","Not found",_xlfn.XLOOKUP(M53,ReqSite_Export!$A$2:$A$82,ReqSite_Export!$J$2:$J$82,"Not found"))</f>
        <v>Approved</v>
      </c>
      <c r="O53" t="str">
        <f t="shared" si="1"/>
        <v>OK</v>
      </c>
      <c r="P53" t="str">
        <f>IF(N53="Not found","",_xlfn.XLOOKUP(M53,ReqSite_Export!$A$2:$A$82,ReqSite_Export!$E$2:$E$82,""))</f>
        <v>Digital Marketing Analyst</v>
      </c>
      <c r="Q53" t="b">
        <f t="shared" si="2"/>
        <v>1</v>
      </c>
      <c r="R53" t="str">
        <f>IF(N53="Not found","",_xlfn.XLOOKUP(M53,ReqSite_Export!$A$2:$A$82,ReqSite_Export!$C$2:$C$82,""))</f>
        <v>Ethan Park</v>
      </c>
      <c r="S53" t="b">
        <f t="shared" si="3"/>
        <v>1</v>
      </c>
      <c r="T53" t="str">
        <f>IF(N53="Not found","",_xlfn.XLOOKUP(M53,ReqSite_Export!$A$2:$A$82,ReqSite_Export!$D$2:$D$82,""))</f>
        <v>Marketing</v>
      </c>
      <c r="U53" t="b">
        <f>IF(T53="","",TRIM(D53)=_xlfn.XLOOKUP(T53,Dept_Map!$A$2:$A$11,Dept_Map!$B$2:$B$11,""))</f>
        <v>1</v>
      </c>
      <c r="V53" s="4">
        <f t="shared" si="4"/>
        <v>46274</v>
      </c>
      <c r="W53">
        <f>IF(N53&lt;&gt;"Approved","",V53-_xlfn.XLOOKUP(M53,ReqSite_Export!$A$2:$A$82,ReqSite_Export!$K$2:$K$82))</f>
        <v>6</v>
      </c>
      <c r="X53" t="str">
        <f>IF(AND(I53="Filled",N53="Approved"),J53-_xlfn.XLOOKUP(M53,ReqSite_Export!$A$2:$A$82,ReqSite_Export!$K$2:$K$82),"")</f>
        <v/>
      </c>
      <c r="Y53" t="str">
        <f t="shared" si="5"/>
        <v>Mktg &amp; Comms</v>
      </c>
    </row>
    <row r="54" spans="1:25">
      <c r="A54" s="2">
        <v>4153</v>
      </c>
      <c r="B54" s="2" t="s">
        <v>210</v>
      </c>
      <c r="C54" s="2" t="s">
        <v>92</v>
      </c>
      <c r="D54" s="2" t="s">
        <v>86</v>
      </c>
      <c r="E54" s="2" t="s">
        <v>305</v>
      </c>
      <c r="F54" s="2" t="s">
        <v>276</v>
      </c>
      <c r="G54" s="2" t="s">
        <v>93</v>
      </c>
      <c r="H54" s="3">
        <v>46283</v>
      </c>
      <c r="I54" s="2" t="s">
        <v>298</v>
      </c>
      <c r="J54" s="2"/>
      <c r="K54" s="2"/>
      <c r="L54" s="2">
        <v>10</v>
      </c>
      <c r="M54" t="str">
        <f t="shared" si="0"/>
        <v>RR-26-0065</v>
      </c>
      <c r="N54" t="str">
        <f>IF(M54="","Not found",_xlfn.XLOOKUP(M54,ReqSite_Export!$A$2:$A$82,ReqSite_Export!$J$2:$J$82,"Not found"))</f>
        <v>Approved</v>
      </c>
      <c r="O54" t="str">
        <f t="shared" si="1"/>
        <v>OK</v>
      </c>
      <c r="P54" t="str">
        <f>IF(N54="Not found","",_xlfn.XLOOKUP(M54,ReqSite_Export!$A$2:$A$82,ReqSite_Export!$E$2:$E$82,""))</f>
        <v>Account Executive</v>
      </c>
      <c r="Q54" t="b">
        <f t="shared" si="2"/>
        <v>1</v>
      </c>
      <c r="R54" t="str">
        <f>IF(N54="Not found","",_xlfn.XLOOKUP(M54,ReqSite_Export!$A$2:$A$82,ReqSite_Export!$C$2:$C$82,""))</f>
        <v>Michael Grant</v>
      </c>
      <c r="S54" t="b">
        <f t="shared" si="3"/>
        <v>0</v>
      </c>
      <c r="T54" t="str">
        <f>IF(N54="Not found","",_xlfn.XLOOKUP(M54,ReqSite_Export!$A$2:$A$82,ReqSite_Export!$D$2:$D$82,""))</f>
        <v>Sales</v>
      </c>
      <c r="U54" t="b">
        <f>IF(T54="","",TRIM(D54)=_xlfn.XLOOKUP(T54,Dept_Map!$A$2:$A$11,Dept_Map!$B$2:$B$11,""))</f>
        <v>1</v>
      </c>
      <c r="V54" s="4">
        <f t="shared" si="4"/>
        <v>46283</v>
      </c>
      <c r="W54">
        <f>IF(N54&lt;&gt;"Approved","",V54-_xlfn.XLOOKUP(M54,ReqSite_Export!$A$2:$A$82,ReqSite_Export!$K$2:$K$82))</f>
        <v>3</v>
      </c>
      <c r="X54" t="str">
        <f>IF(AND(I54="Filled",N54="Approved"),J54-_xlfn.XLOOKUP(M54,ReqSite_Export!$A$2:$A$82,ReqSite_Export!$K$2:$K$82),"")</f>
        <v/>
      </c>
      <c r="Y54" t="str">
        <f t="shared" si="5"/>
        <v>Sales</v>
      </c>
    </row>
    <row r="55" spans="1:25">
      <c r="A55" s="2">
        <v>4154</v>
      </c>
      <c r="B55" s="2" t="s">
        <v>209</v>
      </c>
      <c r="C55" s="2" t="s">
        <v>306</v>
      </c>
      <c r="D55" s="2" t="s">
        <v>86</v>
      </c>
      <c r="E55" s="2" t="s">
        <v>107</v>
      </c>
      <c r="F55" s="2" t="s">
        <v>276</v>
      </c>
      <c r="G55" s="2" t="s">
        <v>78</v>
      </c>
      <c r="H55" s="3">
        <v>46286</v>
      </c>
      <c r="I55" s="2" t="s">
        <v>298</v>
      </c>
      <c r="J55" s="2"/>
      <c r="K55" s="2"/>
      <c r="L55" s="2">
        <v>11</v>
      </c>
      <c r="M55" t="str">
        <f t="shared" si="0"/>
        <v>RR-26-0064</v>
      </c>
      <c r="N55" t="str">
        <f>IF(M55="","Not found",_xlfn.XLOOKUP(M55,ReqSite_Export!$A$2:$A$82,ReqSite_Export!$J$2:$J$82,"Not found"))</f>
        <v>Approved</v>
      </c>
      <c r="O55" t="str">
        <f t="shared" si="1"/>
        <v>OK</v>
      </c>
      <c r="P55" t="str">
        <f>IF(N55="Not found","",_xlfn.XLOOKUP(M55,ReqSite_Export!$A$2:$A$82,ReqSite_Export!$E$2:$E$82,""))</f>
        <v>Account Executive</v>
      </c>
      <c r="Q55" t="b">
        <f t="shared" si="2"/>
        <v>0</v>
      </c>
      <c r="R55" t="str">
        <f>IF(N55="Not found","",_xlfn.XLOOKUP(M55,ReqSite_Export!$A$2:$A$82,ReqSite_Export!$C$2:$C$82,""))</f>
        <v>Jasmine Reid</v>
      </c>
      <c r="S55" t="b">
        <f t="shared" si="3"/>
        <v>1</v>
      </c>
      <c r="T55" t="str">
        <f>IF(N55="Not found","",_xlfn.XLOOKUP(M55,ReqSite_Export!$A$2:$A$82,ReqSite_Export!$D$2:$D$82,""))</f>
        <v>Sales</v>
      </c>
      <c r="U55" t="b">
        <f>IF(T55="","",TRIM(D55)=_xlfn.XLOOKUP(T55,Dept_Map!$A$2:$A$11,Dept_Map!$B$2:$B$11,""))</f>
        <v>1</v>
      </c>
      <c r="V55" s="4">
        <f t="shared" si="4"/>
        <v>46286</v>
      </c>
      <c r="W55">
        <f>IF(N55&lt;&gt;"Approved","",V55-_xlfn.XLOOKUP(M55,ReqSite_Export!$A$2:$A$82,ReqSite_Export!$K$2:$K$82))</f>
        <v>4</v>
      </c>
      <c r="X55" t="str">
        <f>IF(AND(I55="Filled",N55="Approved"),J55-_xlfn.XLOOKUP(M55,ReqSite_Export!$A$2:$A$82,ReqSite_Export!$K$2:$K$82),"")</f>
        <v/>
      </c>
      <c r="Y55" t="str">
        <f t="shared" si="5"/>
        <v>Sales</v>
      </c>
    </row>
    <row r="56" spans="1:25">
      <c r="A56" s="2">
        <v>4155</v>
      </c>
      <c r="B56" s="2" t="s">
        <v>215</v>
      </c>
      <c r="C56" s="2" t="s">
        <v>87</v>
      </c>
      <c r="D56" s="2" t="s">
        <v>86</v>
      </c>
      <c r="E56" s="2" t="s">
        <v>85</v>
      </c>
      <c r="F56" s="2" t="s">
        <v>276</v>
      </c>
      <c r="G56" s="2" t="s">
        <v>93</v>
      </c>
      <c r="H56" s="2" t="s">
        <v>307</v>
      </c>
      <c r="I56" s="2" t="s">
        <v>298</v>
      </c>
      <c r="J56" s="2"/>
      <c r="K56" s="2"/>
      <c r="L56" s="2">
        <v>16</v>
      </c>
      <c r="M56" t="str">
        <f t="shared" si="0"/>
        <v>RR-26-0069</v>
      </c>
      <c r="N56" t="str">
        <f>IF(M56="","Not found",_xlfn.XLOOKUP(M56,ReqSite_Export!$A$2:$A$82,ReqSite_Export!$J$2:$J$82,"Not found"))</f>
        <v>Approved</v>
      </c>
      <c r="O56" t="str">
        <f t="shared" si="1"/>
        <v>OK</v>
      </c>
      <c r="P56" t="str">
        <f>IF(N56="Not found","",_xlfn.XLOOKUP(M56,ReqSite_Export!$A$2:$A$82,ReqSite_Export!$E$2:$E$82,""))</f>
        <v>Sales Operations Analyst</v>
      </c>
      <c r="Q56" t="b">
        <f t="shared" si="2"/>
        <v>1</v>
      </c>
      <c r="R56" t="str">
        <f>IF(N56="Not found","",_xlfn.XLOOKUP(M56,ReqSite_Export!$A$2:$A$82,ReqSite_Export!$C$2:$C$82,""))</f>
        <v>Carlos Mendes</v>
      </c>
      <c r="S56" t="b">
        <f t="shared" si="3"/>
        <v>1</v>
      </c>
      <c r="T56" t="str">
        <f>IF(N56="Not found","",_xlfn.XLOOKUP(M56,ReqSite_Export!$A$2:$A$82,ReqSite_Export!$D$2:$D$82,""))</f>
        <v>Sales</v>
      </c>
      <c r="U56" t="b">
        <f>IF(T56="","",TRIM(D56)=_xlfn.XLOOKUP(T56,Dept_Map!$A$2:$A$11,Dept_Map!$B$2:$B$11,""))</f>
        <v>1</v>
      </c>
      <c r="V56" s="4">
        <f t="shared" si="4"/>
        <v>46288</v>
      </c>
      <c r="W56">
        <f>IF(N56&lt;&gt;"Approved","",V56-_xlfn.XLOOKUP(M56,ReqSite_Export!$A$2:$A$82,ReqSite_Export!$K$2:$K$82))</f>
        <v>6</v>
      </c>
      <c r="X56" t="str">
        <f>IF(AND(I56="Filled",N56="Approved"),J56-_xlfn.XLOOKUP(M56,ReqSite_Export!$A$2:$A$82,ReqSite_Export!$K$2:$K$82),"")</f>
        <v/>
      </c>
      <c r="Y56" t="str">
        <f t="shared" si="5"/>
        <v>Sales</v>
      </c>
    </row>
    <row r="57" spans="1:25">
      <c r="A57" s="2">
        <v>4156</v>
      </c>
      <c r="B57" s="2" t="s">
        <v>218</v>
      </c>
      <c r="C57" s="2" t="s">
        <v>87</v>
      </c>
      <c r="D57" s="2" t="s">
        <v>86</v>
      </c>
      <c r="E57" s="2" t="s">
        <v>91</v>
      </c>
      <c r="F57" s="2" t="s">
        <v>276</v>
      </c>
      <c r="G57" s="2" t="s">
        <v>93</v>
      </c>
      <c r="H57" s="3">
        <v>46289</v>
      </c>
      <c r="I57" s="2" t="s">
        <v>298</v>
      </c>
      <c r="J57" s="2"/>
      <c r="K57" s="2"/>
      <c r="L57" s="2">
        <v>16</v>
      </c>
      <c r="M57" t="str">
        <f t="shared" si="0"/>
        <v>RR-26-0072</v>
      </c>
      <c r="N57" t="str">
        <f>IF(M57="","Not found",_xlfn.XLOOKUP(M57,ReqSite_Export!$A$2:$A$82,ReqSite_Export!$J$2:$J$82,"Not found"))</f>
        <v>Pending Approval</v>
      </c>
      <c r="O57" t="str">
        <f t="shared" si="1"/>
        <v>Opened before approval</v>
      </c>
      <c r="P57" t="str">
        <f>IF(N57="Not found","",_xlfn.XLOOKUP(M57,ReqSite_Export!$A$2:$A$82,ReqSite_Export!$E$2:$E$82,""))</f>
        <v>Sales Operations Analyst</v>
      </c>
      <c r="Q57" t="b">
        <f t="shared" si="2"/>
        <v>1</v>
      </c>
      <c r="R57" t="str">
        <f>IF(N57="Not found","",_xlfn.XLOOKUP(M57,ReqSite_Export!$A$2:$A$82,ReqSite_Export!$C$2:$C$82,""))</f>
        <v>Michael Grant</v>
      </c>
      <c r="S57" t="b">
        <f t="shared" si="3"/>
        <v>1</v>
      </c>
      <c r="T57" t="str">
        <f>IF(N57="Not found","",_xlfn.XLOOKUP(M57,ReqSite_Export!$A$2:$A$82,ReqSite_Export!$D$2:$D$82,""))</f>
        <v>Sales</v>
      </c>
      <c r="U57" t="b">
        <f>IF(T57="","",TRIM(D57)=_xlfn.XLOOKUP(T57,Dept_Map!$A$2:$A$11,Dept_Map!$B$2:$B$11,""))</f>
        <v>1</v>
      </c>
      <c r="V57" s="4">
        <f t="shared" si="4"/>
        <v>46289</v>
      </c>
      <c r="W57" t="str">
        <f>IF(N57&lt;&gt;"Approved","",V57-_xlfn.XLOOKUP(M57,ReqSite_Export!$A$2:$A$82,ReqSite_Export!$K$2:$K$82))</f>
        <v/>
      </c>
      <c r="X57" t="str">
        <f>IF(AND(I57="Filled",N57="Approved"),J57-_xlfn.XLOOKUP(M57,ReqSite_Export!$A$2:$A$82,ReqSite_Export!$K$2:$K$82),"")</f>
        <v/>
      </c>
      <c r="Y57" t="str">
        <f t="shared" si="5"/>
        <v>Sales</v>
      </c>
    </row>
  </sheetData>
  <autoFilter ref="A1:U57" xr:uid="{00000000-0001-0000-03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2CD4-159F-4A18-B7AF-2EF635EE8999}">
  <dimension ref="A1:G14"/>
  <sheetViews>
    <sheetView workbookViewId="0">
      <selection activeCell="H6" sqref="H6"/>
    </sheetView>
  </sheetViews>
  <sheetFormatPr defaultRowHeight="15"/>
  <cols>
    <col min="1" max="1" width="17.140625" customWidth="1"/>
    <col min="2" max="2" width="17.85546875" customWidth="1"/>
    <col min="4" max="4" width="19.7109375" customWidth="1"/>
    <col min="5" max="5" width="22.5703125" customWidth="1"/>
  </cols>
  <sheetData>
    <row r="1" spans="1:7">
      <c r="A1" s="13" t="s">
        <v>267</v>
      </c>
      <c r="B1" s="13" t="s">
        <v>308</v>
      </c>
      <c r="D1" s="13" t="s">
        <v>309</v>
      </c>
      <c r="E1" s="13" t="s">
        <v>310</v>
      </c>
      <c r="G1" s="12" t="s">
        <v>311</v>
      </c>
    </row>
    <row r="2" spans="1:7">
      <c r="A2" t="s">
        <v>128</v>
      </c>
      <c r="B2" t="s">
        <v>289</v>
      </c>
      <c r="D2" t="str" cm="1">
        <f t="array" ref="D2:E14">_xlfn._xlws.SORT(_xlfn.UNIQUE(_xlfn.HSTACK(iCIMS_Export!$T$2:$T$57,TRIM(iCIMS_Export!$D$2:$D$57))))</f>
        <v/>
      </c>
      <c r="E2" t="str">
        <v>Events</v>
      </c>
    </row>
    <row r="3" spans="1:7">
      <c r="A3" t="s">
        <v>133</v>
      </c>
      <c r="B3" t="s">
        <v>291</v>
      </c>
      <c r="D3" t="str">
        <v/>
      </c>
      <c r="E3" t="str">
        <v>Research</v>
      </c>
    </row>
    <row r="4" spans="1:7">
      <c r="A4" t="s">
        <v>96</v>
      </c>
      <c r="B4" t="s">
        <v>96</v>
      </c>
      <c r="D4" t="str">
        <v>Consulting</v>
      </c>
      <c r="E4" t="str">
        <v>Consulting Services</v>
      </c>
    </row>
    <row r="5" spans="1:7">
      <c r="A5" t="s">
        <v>100</v>
      </c>
      <c r="B5" t="s">
        <v>100</v>
      </c>
      <c r="D5" t="str">
        <v>Data &amp; Analytics</v>
      </c>
      <c r="E5" t="str">
        <v>Data and Analytics</v>
      </c>
    </row>
    <row r="6" spans="1:7">
      <c r="A6" t="s">
        <v>124</v>
      </c>
      <c r="B6" t="s">
        <v>290</v>
      </c>
      <c r="D6" t="str">
        <v>Events</v>
      </c>
      <c r="E6" t="str">
        <v>Events</v>
      </c>
    </row>
    <row r="7" spans="1:7">
      <c r="A7" t="s">
        <v>74</v>
      </c>
      <c r="B7" t="s">
        <v>277</v>
      </c>
      <c r="D7" t="str">
        <v>Finance</v>
      </c>
      <c r="E7" t="str">
        <v>Finance</v>
      </c>
    </row>
    <row r="8" spans="1:7">
      <c r="A8" t="s">
        <v>114</v>
      </c>
      <c r="B8" t="s">
        <v>286</v>
      </c>
      <c r="D8" t="str">
        <v>Human Resources</v>
      </c>
      <c r="E8" t="str">
        <v>HR</v>
      </c>
    </row>
    <row r="9" spans="1:7">
      <c r="A9" t="s">
        <v>104</v>
      </c>
      <c r="B9" t="s">
        <v>282</v>
      </c>
      <c r="D9" t="str">
        <v>IT</v>
      </c>
      <c r="E9" t="str">
        <v>Information Technology</v>
      </c>
    </row>
    <row r="10" spans="1:7">
      <c r="A10" t="s">
        <v>81</v>
      </c>
      <c r="B10" t="s">
        <v>81</v>
      </c>
      <c r="D10" t="str">
        <v>Marketing</v>
      </c>
      <c r="E10" t="str">
        <v>Mktg &amp; Comms</v>
      </c>
    </row>
    <row r="11" spans="1:7">
      <c r="A11" t="s">
        <v>86</v>
      </c>
      <c r="B11" t="s">
        <v>86</v>
      </c>
      <c r="D11" s="11" t="str">
        <v>Marketing</v>
      </c>
      <c r="E11" s="11" t="str">
        <v>Events</v>
      </c>
    </row>
    <row r="12" spans="1:7">
      <c r="D12" t="str">
        <v>Product</v>
      </c>
      <c r="E12" t="str">
        <v>Product Mgmt</v>
      </c>
    </row>
    <row r="13" spans="1:7">
      <c r="D13" t="str">
        <v>Research</v>
      </c>
      <c r="E13" t="str">
        <v>Research</v>
      </c>
    </row>
    <row r="14" spans="1:7">
      <c r="D14" t="str">
        <v>Sales</v>
      </c>
      <c r="E14" t="str">
        <v>Sales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BFCA-7148-4E69-A646-D0424697F70F}">
  <dimension ref="A1:E14"/>
  <sheetViews>
    <sheetView workbookViewId="0">
      <selection activeCell="J10" sqref="J10"/>
    </sheetView>
  </sheetViews>
  <sheetFormatPr defaultRowHeight="15"/>
  <cols>
    <col min="1" max="1" width="22.42578125" bestFit="1" customWidth="1"/>
    <col min="2" max="2" width="14.28515625" bestFit="1" customWidth="1"/>
    <col min="3" max="3" width="16.42578125" customWidth="1"/>
    <col min="4" max="4" width="17.140625" bestFit="1" customWidth="1"/>
    <col min="5" max="5" width="11.7109375" bestFit="1" customWidth="1"/>
  </cols>
  <sheetData>
    <row r="1" spans="1:5">
      <c r="A1" s="15" t="s">
        <v>312</v>
      </c>
    </row>
    <row r="2" spans="1:5">
      <c r="A2" s="5" t="s">
        <v>313</v>
      </c>
      <c r="B2" s="5" t="s">
        <v>314</v>
      </c>
    </row>
    <row r="3" spans="1:5">
      <c r="A3" s="5" t="s">
        <v>315</v>
      </c>
      <c r="B3" t="s">
        <v>34</v>
      </c>
      <c r="C3" t="s">
        <v>40</v>
      </c>
      <c r="D3" t="s">
        <v>212</v>
      </c>
      <c r="E3" t="s">
        <v>316</v>
      </c>
    </row>
    <row r="4" spans="1:5">
      <c r="A4" t="s">
        <v>289</v>
      </c>
      <c r="B4">
        <v>4</v>
      </c>
      <c r="E4">
        <v>4</v>
      </c>
    </row>
    <row r="5" spans="1:5">
      <c r="A5" t="s">
        <v>291</v>
      </c>
      <c r="B5">
        <v>4</v>
      </c>
      <c r="E5">
        <v>4</v>
      </c>
    </row>
    <row r="6" spans="1:5">
      <c r="A6" t="s">
        <v>96</v>
      </c>
      <c r="B6">
        <v>5</v>
      </c>
      <c r="C6">
        <v>1</v>
      </c>
      <c r="E6">
        <v>6</v>
      </c>
    </row>
    <row r="7" spans="1:5">
      <c r="A7" t="s">
        <v>100</v>
      </c>
      <c r="B7">
        <v>3</v>
      </c>
      <c r="E7">
        <v>3</v>
      </c>
    </row>
    <row r="8" spans="1:5">
      <c r="A8" t="s">
        <v>290</v>
      </c>
      <c r="B8">
        <v>4</v>
      </c>
      <c r="E8">
        <v>4</v>
      </c>
    </row>
    <row r="9" spans="1:5">
      <c r="A9" t="s">
        <v>277</v>
      </c>
      <c r="B9">
        <v>2</v>
      </c>
      <c r="E9">
        <v>2</v>
      </c>
    </row>
    <row r="10" spans="1:5">
      <c r="A10" t="s">
        <v>286</v>
      </c>
      <c r="B10">
        <v>4</v>
      </c>
      <c r="E10">
        <v>4</v>
      </c>
    </row>
    <row r="11" spans="1:5">
      <c r="A11" t="s">
        <v>282</v>
      </c>
      <c r="B11">
        <v>4</v>
      </c>
      <c r="E11">
        <v>4</v>
      </c>
    </row>
    <row r="12" spans="1:5">
      <c r="A12" t="s">
        <v>81</v>
      </c>
      <c r="B12">
        <v>11</v>
      </c>
      <c r="C12">
        <v>2</v>
      </c>
      <c r="E12">
        <v>13</v>
      </c>
    </row>
    <row r="13" spans="1:5">
      <c r="A13" t="s">
        <v>86</v>
      </c>
      <c r="B13">
        <v>11</v>
      </c>
      <c r="D13">
        <v>1</v>
      </c>
      <c r="E13">
        <v>12</v>
      </c>
    </row>
    <row r="14" spans="1:5">
      <c r="A14" t="s">
        <v>316</v>
      </c>
      <c r="B14">
        <v>52</v>
      </c>
      <c r="C14">
        <v>3</v>
      </c>
      <c r="D14">
        <v>1</v>
      </c>
      <c r="E14">
        <v>56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2026-09-30T21:23:46Z</dcterms:created>
  <dcterms:modified xsi:type="dcterms:W3CDTF">2026-10-10T20:30:49Z</dcterms:modified>
  <cp:category/>
  <cp:contentStatus/>
</cp:coreProperties>
</file>